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770" yWindow="5010" windowWidth="28800" windowHeight="15885"/>
  </bookViews>
  <sheets>
    <sheet sheetId="1" name="EEPU NOM ECOLE" state="visible" r:id="rId4"/>
  </sheets>
  <definedNames>
    <definedName name="PlageProfils">'OFFSET([1]Exemple'!$G$16,'[1]Exemple'!$C$3</definedName>
    <definedName name="_xlnm.Print_Area" localSheetId="0">'EEPU NOM ECOLE'!$A1:$AP31</definedName>
  </definedNames>
  <calcPr calcId="171027"/>
</workbook>
</file>

<file path=xl/sharedStrings.xml><?xml version="1.0" encoding="utf-8"?>
<sst xmlns="http://schemas.openxmlformats.org/spreadsheetml/2006/main" count="105" uniqueCount="79">
  <si>
    <t>Répartition des effectifs</t>
  </si>
  <si>
    <t>école:</t>
  </si>
  <si>
    <t>auteur:</t>
  </si>
  <si>
    <t>année:</t>
  </si>
  <si>
    <t>2014/2015</t>
  </si>
  <si>
    <t>Nb Classes:</t>
  </si>
  <si>
    <t>total par niv</t>
  </si>
  <si>
    <t>à répartir encore</t>
  </si>
  <si>
    <t>Classe 1</t>
  </si>
  <si>
    <t>Classe 2</t>
  </si>
  <si>
    <t>Classe 3</t>
  </si>
  <si>
    <t>Classe 4</t>
  </si>
  <si>
    <t>Classe 5</t>
  </si>
  <si>
    <t>Classe 6</t>
  </si>
  <si>
    <t>Classe 7</t>
  </si>
  <si>
    <t>Classe 8</t>
  </si>
  <si>
    <t>Classe 9</t>
  </si>
  <si>
    <t>Classe 10</t>
  </si>
  <si>
    <t>Classe 11</t>
  </si>
  <si>
    <t>Classe 12</t>
  </si>
  <si>
    <t>Classe 13</t>
  </si>
  <si>
    <t>Classe 14</t>
  </si>
  <si>
    <t>Classe 15</t>
  </si>
  <si>
    <t>Classe 16</t>
  </si>
  <si>
    <t>Classe 17</t>
  </si>
  <si>
    <t>Classe 18</t>
  </si>
  <si>
    <t>Classe 19</t>
  </si>
  <si>
    <t>Classe 20</t>
  </si>
  <si>
    <t>Classe 21</t>
  </si>
  <si>
    <t>Classe 22</t>
  </si>
  <si>
    <t>Classe 23</t>
  </si>
  <si>
    <t>Classe 24</t>
  </si>
  <si>
    <t>Classe 25</t>
  </si>
  <si>
    <t>Classe 26</t>
  </si>
  <si>
    <t>Classe 27</t>
  </si>
  <si>
    <t>Classe 28</t>
  </si>
  <si>
    <t>Classe 29</t>
  </si>
  <si>
    <t>Classe 30</t>
  </si>
  <si>
    <t>Classe 31</t>
  </si>
  <si>
    <t>Classe 32</t>
  </si>
  <si>
    <t>Classe 33</t>
  </si>
  <si>
    <t>Classe 34</t>
  </si>
  <si>
    <t>total cycle 1</t>
  </si>
  <si>
    <t>PS1</t>
  </si>
  <si>
    <t>PS2</t>
  </si>
  <si>
    <t>MS</t>
  </si>
  <si>
    <t>total élém.</t>
  </si>
  <si>
    <t>GS</t>
  </si>
  <si>
    <t>CP</t>
  </si>
  <si>
    <t>total cycle 2</t>
  </si>
  <si>
    <t>CE1</t>
  </si>
  <si>
    <t>CE2</t>
  </si>
  <si>
    <t>total cycle 3</t>
  </si>
  <si>
    <t>CM1</t>
  </si>
  <si>
    <t>CM2</t>
  </si>
  <si>
    <t>ULIS</t>
  </si>
  <si>
    <t>total CLIS</t>
  </si>
  <si>
    <t>NB: vous pouvez choisir une valeur de la liste ou saisir les nombres au clavier</t>
  </si>
  <si>
    <t xml:space="preserve"> </t>
  </si>
  <si>
    <t>totaux</t>
  </si>
  <si>
    <t>simples niveaux</t>
  </si>
  <si>
    <t>doubles niveaux</t>
  </si>
  <si>
    <t>triples niveaux</t>
  </si>
  <si>
    <t>Autres</t>
  </si>
  <si>
    <t>Les cases bleues sont remplies automatiquement</t>
  </si>
  <si>
    <t>intitulé</t>
  </si>
  <si>
    <t>total classe</t>
  </si>
  <si>
    <t>total réparti</t>
  </si>
  <si>
    <r>
      <t>Commentaires +:</t>
    </r>
    <r>
      <rPr>
        <color theme="1"/>
        <family val="2"/>
        <scheme val="minor"/>
        <sz val="11"/>
        <rFont val="Aptos Narrow"/>
      </rPr>
      <t xml:space="preserve"> </t>
    </r>
  </si>
  <si>
    <r>
      <rPr>
        <u/>
        <color indexed="8"/>
        <family val="2"/>
        <sz val="11"/>
        <rFont val="Calibri"/>
      </rPr>
      <t>Commentaires -</t>
    </r>
    <r>
      <rPr>
        <color theme="1"/>
        <family val="2"/>
        <scheme val="minor"/>
        <sz val="11"/>
        <rFont val="Aptos Narrow"/>
      </rPr>
      <t xml:space="preserve">:   </t>
    </r>
  </si>
  <si>
    <t>écart type</t>
  </si>
  <si>
    <t>EEPU DANGLADES</t>
  </si>
  <si>
    <t>moyenne théorique</t>
  </si>
  <si>
    <t>moyenne actuelle</t>
  </si>
  <si>
    <t>moyenne locale 1</t>
  </si>
  <si>
    <t>moyenne locale 2</t>
  </si>
  <si>
    <t>moyenne locale 3</t>
  </si>
  <si>
    <t xml:space="preserve"> de la classe</t>
  </si>
  <si>
    <t>à la classe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</si>
</sst>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color theme="1"/>
      <family val="2"/>
      <scheme val="minor"/>
      <sz val="18"/>
      <name val="Aptos Narrow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2"/>
      <name val="Aptos Narrow"/>
    </font>
    <font>
      <color theme="1"/>
      <family val="2"/>
      <scheme val="minor"/>
      <sz val="10"/>
      <name val="Aptos Narrow"/>
    </font>
    <font>
      <color theme="1"/>
      <family val="2"/>
      <scheme val="minor"/>
      <sz val="9"/>
      <name val="Aptos Narrow"/>
    </font>
    <font>
      <color theme="1"/>
      <family val="2"/>
      <scheme val="minor"/>
      <sz val="8"/>
      <name val="Aptos Narrow"/>
    </font>
    <font>
      <u/>
      <color theme="1"/>
      <family val="2"/>
      <scheme val="minor"/>
      <sz val="11"/>
      <name val="Aptos Narrow"/>
    </font>
  </fonts>
  <fills count="12">
    <fill>
      <patternFill patternType="none"/>
    </fill>
    <fill>
      <patternFill patternType="gray125"/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0.5999938962981048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5" xfId="0" applyFont="1" applyBorder="1"/>
    <xf numFmtId="0" fontId="3" fillId="0" borderId="2" xfId="0" applyFont="1" applyBorder="1" applyAlignment="1">
      <alignment horizontal="center" vertical="center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4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1" fillId="0" borderId="7" xfId="0" applyFont="1" applyBorder="1" applyAlignment="1">
      <alignment horizontal="center" wrapText="1"/>
    </xf>
    <xf numFmtId="0" fontId="1" fillId="3" borderId="0" xfId="0" applyFont="1" applyFill="1"/>
    <xf numFmtId="0" fontId="5" fillId="0" borderId="8" xfId="0" applyFont="1" applyBorder="1" applyAlignment="1" applyProtection="1">
      <alignment horizontal="center"/>
      <protection locked="0"/>
    </xf>
    <xf numFmtId="0" fontId="5" fillId="4" borderId="9" xfId="0" applyFont="1" applyFill="1" applyBorder="1" applyAlignment="1">
      <alignment horizontal="center"/>
    </xf>
    <xf numFmtId="0" fontId="6" fillId="0" borderId="10" xfId="0" applyFont="1" applyBorder="1" applyProtection="1">
      <protection locked="0"/>
    </xf>
    <xf numFmtId="0" fontId="1" fillId="0" borderId="11" xfId="0" applyFont="1" applyBorder="1" applyAlignment="1">
      <alignment horizontal="right"/>
    </xf>
    <xf numFmtId="0" fontId="1" fillId="0" borderId="12" xfId="0" applyFont="1" applyBorder="1" applyProtection="1">
      <protection locked="0"/>
    </xf>
    <xf numFmtId="0" fontId="1" fillId="5" borderId="13" xfId="0" applyFont="1" applyFill="1" applyBorder="1"/>
    <xf numFmtId="0" fontId="1" fillId="0" borderId="14" xfId="0" applyFont="1" applyBorder="1" applyProtection="1">
      <protection locked="0"/>
    </xf>
    <xf numFmtId="0" fontId="5" fillId="4" borderId="15" xfId="0" applyFont="1" applyFill="1" applyBorder="1" applyAlignment="1">
      <alignment horizontal="center" vertical="top"/>
    </xf>
    <xf numFmtId="0" fontId="7" fillId="0" borderId="10" xfId="0" applyFont="1" applyBorder="1" applyProtection="1">
      <protection locked="0"/>
    </xf>
    <xf numFmtId="0" fontId="5" fillId="4" borderId="16" xfId="0" applyFont="1" applyFill="1" applyBorder="1" applyAlignment="1">
      <alignment horizontal="center" vertical="top"/>
    </xf>
    <xf numFmtId="0" fontId="5" fillId="4" borderId="17" xfId="0" applyFont="1" applyFill="1" applyBorder="1" applyAlignment="1">
      <alignment horizontal="center" vertical="top"/>
    </xf>
    <xf numFmtId="0" fontId="5" fillId="4" borderId="9" xfId="0" applyFont="1" applyFill="1" applyBorder="1" applyAlignment="1">
      <alignment horizontal="center" vertical="top"/>
    </xf>
    <xf numFmtId="0" fontId="1" fillId="4" borderId="15" xfId="0" applyFont="1" applyFill="1" applyBorder="1" applyAlignment="1">
      <alignment horizontal="center" vertical="top"/>
    </xf>
    <xf numFmtId="0" fontId="1" fillId="4" borderId="16" xfId="0" applyFont="1" applyFill="1" applyBorder="1" applyAlignment="1">
      <alignment horizontal="center" vertical="top"/>
    </xf>
    <xf numFmtId="0" fontId="1" fillId="0" borderId="12" xfId="0" applyFont="1" applyBorder="1" applyAlignment="1">
      <alignment horizontal="right"/>
    </xf>
    <xf numFmtId="0" fontId="1" fillId="4" borderId="12" xfId="0" applyFont="1" applyFill="1" applyBorder="1" applyAlignment="1">
      <alignment horizontal="center" vertical="top"/>
    </xf>
    <xf numFmtId="0" fontId="1" fillId="4" borderId="9" xfId="0" applyFont="1" applyFill="1" applyBorder="1" applyAlignment="1">
      <alignment horizontal="center" vertical="top"/>
    </xf>
    <xf numFmtId="0" fontId="1" fillId="0" borderId="6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" xfId="0" applyFont="1" applyBorder="1"/>
    <xf numFmtId="0" fontId="1" fillId="5" borderId="20" xfId="0" applyFont="1" applyFill="1" applyBorder="1"/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21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5" fillId="0" borderId="12" xfId="0" applyFont="1" applyBorder="1" applyAlignment="1" applyProtection="1">
      <alignment horizontal="center"/>
      <protection locked="0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/>
    </xf>
    <xf numFmtId="0" fontId="1" fillId="5" borderId="19" xfId="0" applyFont="1" applyFill="1" applyBorder="1" applyAlignment="1">
      <alignment horizontal="center" vertical="center" wrapText="1"/>
    </xf>
    <xf numFmtId="0" fontId="1" fillId="5" borderId="23" xfId="0" applyFont="1" applyFill="1" applyBorder="1" applyAlignment="1">
      <alignment horizontal="center" vertical="center" wrapText="1"/>
    </xf>
    <xf numFmtId="0" fontId="1" fillId="0" borderId="24" xfId="0" applyFont="1" applyBorder="1"/>
    <xf numFmtId="0" fontId="1" fillId="5" borderId="25" xfId="0" applyFont="1" applyFill="1" applyBorder="1"/>
    <xf numFmtId="0" fontId="8" fillId="9" borderId="1" xfId="0" applyFont="1" applyFill="1" applyBorder="1" applyAlignment="1">
      <alignment horizontal="center" vertical="top" wrapText="1"/>
    </xf>
    <xf numFmtId="0" fontId="8" fillId="9" borderId="24" xfId="0" applyFont="1" applyFill="1" applyBorder="1" applyAlignment="1">
      <alignment horizontal="center" vertical="top" wrapText="1"/>
    </xf>
    <xf numFmtId="0" fontId="8" fillId="9" borderId="21" xfId="0" applyFont="1" applyFill="1" applyBorder="1" applyAlignment="1">
      <alignment horizontal="center" vertical="top" wrapText="1"/>
    </xf>
    <xf numFmtId="0" fontId="1" fillId="10" borderId="1" xfId="0" applyFont="1" applyFill="1" applyBorder="1" applyAlignment="1">
      <alignment horizontal="center" vertical="top" wrapText="1"/>
    </xf>
    <xf numFmtId="0" fontId="1" fillId="10" borderId="24" xfId="0" applyFont="1" applyFill="1" applyBorder="1" applyAlignment="1">
      <alignment horizontal="center" vertical="top" wrapText="1"/>
    </xf>
    <xf numFmtId="0" fontId="1" fillId="10" borderId="21" xfId="0" applyFont="1" applyFill="1" applyBorder="1" applyAlignment="1">
      <alignment horizontal="center" vertical="top" wrapText="1"/>
    </xf>
    <xf numFmtId="0" fontId="1" fillId="0" borderId="26" xfId="0" applyFont="1" applyBorder="1"/>
    <xf numFmtId="0" fontId="1" fillId="5" borderId="23" xfId="0" applyFont="1" applyFill="1" applyBorder="1"/>
    <xf numFmtId="0" fontId="3" fillId="9" borderId="5" xfId="0" applyFont="1" applyFill="1" applyBorder="1" applyAlignment="1" applyProtection="1">
      <alignment horizontal="center" vertical="top" wrapText="1"/>
      <protection locked="0"/>
    </xf>
    <xf numFmtId="0" fontId="1" fillId="9" borderId="0" xfId="0" applyFont="1" applyFill="1" applyAlignment="1" applyProtection="1">
      <alignment horizontal="center" vertical="top" wrapText="1"/>
      <protection locked="0"/>
    </xf>
    <xf numFmtId="0" fontId="8" fillId="9" borderId="0" xfId="0" applyFont="1" applyFill="1" applyAlignment="1" applyProtection="1">
      <alignment horizontal="center" vertical="top" wrapText="1"/>
      <protection locked="0"/>
    </xf>
    <xf numFmtId="0" fontId="8" fillId="9" borderId="6" xfId="0" applyFont="1" applyFill="1" applyBorder="1" applyAlignment="1" applyProtection="1">
      <alignment horizontal="center" vertical="top" wrapText="1"/>
      <protection locked="0"/>
    </xf>
    <xf numFmtId="0" fontId="1" fillId="10" borderId="5" xfId="0" applyFont="1" applyFill="1" applyBorder="1" applyAlignment="1" applyProtection="1">
      <alignment horizontal="center" vertical="top" wrapText="1"/>
      <protection locked="0"/>
    </xf>
    <xf numFmtId="0" fontId="1" fillId="10" borderId="0" xfId="0" applyFont="1" applyFill="1" applyAlignment="1" applyProtection="1">
      <alignment horizontal="center" vertical="top" wrapText="1"/>
      <protection locked="0"/>
    </xf>
    <xf numFmtId="0" fontId="1" fillId="10" borderId="6" xfId="0" applyFont="1" applyFill="1" applyBorder="1" applyAlignment="1" applyProtection="1">
      <alignment horizontal="center" vertical="top" wrapText="1"/>
      <protection locked="0"/>
    </xf>
    <xf numFmtId="0" fontId="1" fillId="5" borderId="1" xfId="0" applyFont="1" applyFill="1" applyBorder="1" applyAlignment="1">
      <alignment wrapText="1"/>
    </xf>
    <xf numFmtId="2" fontId="1" fillId="5" borderId="21" xfId="0" applyNumberFormat="1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 wrapText="1"/>
    </xf>
    <xf numFmtId="2" fontId="3" fillId="11" borderId="21" xfId="0" applyNumberFormat="1" applyFont="1" applyFill="1" applyBorder="1" applyAlignment="1">
      <alignment horizontal="center"/>
    </xf>
    <xf numFmtId="0" fontId="8" fillId="9" borderId="5" xfId="0" applyFont="1" applyFill="1" applyBorder="1" applyAlignment="1" applyProtection="1">
      <alignment horizontal="center" vertical="top" wrapText="1"/>
      <protection locked="0"/>
    </xf>
    <xf numFmtId="0" fontId="6" fillId="5" borderId="1" xfId="0" applyFont="1" applyFill="1" applyBorder="1" applyAlignment="1">
      <alignment horizontal="center" vertical="center" wrapText="1"/>
    </xf>
    <xf numFmtId="2" fontId="3" fillId="5" borderId="21" xfId="0" applyNumberFormat="1" applyFont="1" applyFill="1" applyBorder="1" applyAlignment="1">
      <alignment horizontal="center" vertical="center"/>
    </xf>
    <xf numFmtId="0" fontId="1" fillId="11" borderId="5" xfId="0" applyFont="1" applyFill="1" applyBorder="1" applyAlignment="1">
      <alignment horizontal="center"/>
    </xf>
    <xf numFmtId="0" fontId="1" fillId="11" borderId="6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 applyProtection="1">
      <alignment horizontal="center"/>
      <protection locked="0"/>
    </xf>
    <xf numFmtId="0" fontId="1" fillId="0" borderId="6" xfId="0" applyFont="1" applyBorder="1" applyAlignment="1" applyProtection="1">
      <alignment horizontal="center"/>
      <protection locked="0"/>
    </xf>
    <xf numFmtId="0" fontId="1" fillId="0" borderId="19" xfId="0" applyFont="1" applyBorder="1" applyAlignment="1" applyProtection="1">
      <alignment horizontal="center"/>
      <protection locked="0"/>
    </xf>
    <xf numFmtId="0" fontId="1" fillId="0" borderId="23" xfId="0" applyFont="1" applyBorder="1" applyAlignment="1" applyProtection="1">
      <alignment horizontal="center"/>
      <protection locked="0"/>
    </xf>
    <xf numFmtId="0" fontId="8" fillId="9" borderId="19" xfId="0" applyFont="1" applyFill="1" applyBorder="1" applyAlignment="1" applyProtection="1">
      <alignment horizontal="center" vertical="top" wrapText="1"/>
      <protection locked="0"/>
    </xf>
    <xf numFmtId="0" fontId="8" fillId="9" borderId="26" xfId="0" applyFont="1" applyFill="1" applyBorder="1" applyAlignment="1" applyProtection="1">
      <alignment horizontal="center" vertical="top" wrapText="1"/>
      <protection locked="0"/>
    </xf>
    <xf numFmtId="0" fontId="8" fillId="9" borderId="23" xfId="0" applyFont="1" applyFill="1" applyBorder="1" applyAlignment="1" applyProtection="1">
      <alignment horizontal="center" vertical="top" wrapText="1"/>
      <protection locked="0"/>
    </xf>
    <xf numFmtId="0" fontId="1" fillId="10" borderId="19" xfId="0" applyFont="1" applyFill="1" applyBorder="1" applyAlignment="1" applyProtection="1">
      <alignment horizontal="center" vertical="top" wrapText="1"/>
      <protection locked="0"/>
    </xf>
    <xf numFmtId="0" fontId="1" fillId="10" borderId="26" xfId="0" applyFont="1" applyFill="1" applyBorder="1" applyAlignment="1" applyProtection="1">
      <alignment horizontal="center" vertical="top" wrapText="1"/>
      <protection locked="0"/>
    </xf>
    <xf numFmtId="0" fontId="1" fillId="10" borderId="23" xfId="0" applyFont="1" applyFill="1" applyBorder="1" applyAlignment="1" applyProtection="1">
      <alignment horizontal="center" vertical="top" wrapText="1"/>
      <protection locked="0"/>
    </xf>
    <xf numFmtId="2" fontId="1" fillId="0" borderId="26" xfId="0" applyNumberFormat="1" applyFont="1" applyBorder="1" applyAlignment="1">
      <alignment vertical="center"/>
    </xf>
    <xf numFmtId="0" fontId="1" fillId="0" borderId="23" xfId="0" applyFont="1" applyBorder="1"/>
  </cellXfs>
  <cellStyles count="1">
    <cellStyle name="Normal" xfId="0" builtinId="0"/>
  </cellStyles>
  <dxfs count="1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BG62"/>
  <sheetViews>
    <sheetView workbookViewId="0" zoomScale="100" zoomScaleNormal="100">
      <selection activeCell="L8" sqref="L8"/>
    </sheetView>
  </sheetViews>
  <sheetFormatPr defaultRowHeight="15" outlineLevelRow="0" outlineLevelCol="0" x14ac:dyDescent="0.25" defaultColWidth="11.42578125"/>
  <cols>
    <col min="1" max="1" width="2" customWidth="1"/>
    <col min="2" max="2" width="17.42578125" customWidth="1"/>
    <col min="3" max="3" width="8.42578125" customWidth="1"/>
    <col min="4" max="4" width="10.140625" customWidth="1"/>
    <col min="5" max="5" width="9.140625" customWidth="1"/>
    <col min="6" max="6" width="2.42578125" customWidth="1"/>
    <col min="7" max="40" width="8" customWidth="1"/>
    <col min="41" max="41" width="1.7109375" customWidth="1"/>
    <col min="42" max="42" width="10.28515625" customWidth="1"/>
    <col min="43" max="43" width="2" customWidth="1"/>
    <col min="44" max="44" width="3" hidden="1" customWidth="1"/>
    <col min="45" max="53" width="2" hidden="1" customWidth="1"/>
    <col min="54" max="59" width="3" hidden="1" customWidth="1"/>
  </cols>
  <sheetData>
    <row r="1" ht="24.75" customHeight="1" spans="1:59" x14ac:dyDescent="0.25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4"/>
      <c r="AS1">
        <v>1</v>
      </c>
      <c r="AT1">
        <v>2</v>
      </c>
      <c r="AU1">
        <v>3</v>
      </c>
      <c r="AV1">
        <v>4</v>
      </c>
      <c r="AW1">
        <v>5</v>
      </c>
      <c r="AX1">
        <v>6</v>
      </c>
      <c r="AY1">
        <v>7</v>
      </c>
      <c r="AZ1">
        <v>8</v>
      </c>
      <c r="BA1">
        <v>9</v>
      </c>
      <c r="BB1">
        <v>10</v>
      </c>
      <c r="BC1">
        <v>11</v>
      </c>
      <c r="BD1">
        <v>12</v>
      </c>
      <c r="BE1">
        <v>13</v>
      </c>
      <c r="BF1">
        <v>14</v>
      </c>
      <c r="BG1">
        <v>15</v>
      </c>
    </row>
    <row r="2" ht="24" customHeight="1" spans="1:59" x14ac:dyDescent="0.25">
      <c r="A2" s="5"/>
      <c r="B2" s="6" t="s">
        <v>1</v>
      </c>
      <c r="C2" s="7"/>
      <c r="D2" s="7"/>
      <c r="E2" s="8"/>
      <c r="G2" s="6" t="s">
        <v>2</v>
      </c>
      <c r="H2" s="7"/>
      <c r="I2" s="7"/>
      <c r="J2" s="8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L2" s="6" t="s">
        <v>3</v>
      </c>
      <c r="AM2" s="7" t="s">
        <v>4</v>
      </c>
      <c r="AN2" s="7"/>
      <c r="AO2" s="7"/>
      <c r="AP2" s="8"/>
      <c r="AR2">
        <v>0</v>
      </c>
      <c r="AS2">
        <f>IF($C$3&gt;=AS$1,AR2,"")</f>
        <v>0</v>
      </c>
      <c r="AT2">
        <f>IF($C$3&gt;=AT$1,AS2,"")</f>
        <v>0</v>
      </c>
      <c r="AU2">
        <f>IF($C$3&gt;=AU$1,AT2,"")</f>
        <v>0</v>
      </c>
      <c r="AV2">
        <f t="shared" ref="AV2:BG17" si="0">IF($C$3&gt;=AV$1,AU2,"")</f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  <c r="BD2">
        <f t="shared" si="0"/>
        <v>0</v>
      </c>
      <c r="BE2">
        <f t="shared" si="0"/>
        <v>0</v>
      </c>
      <c r="BF2">
        <f t="shared" si="0"/>
        <v>0</v>
      </c>
      <c r="BG2">
        <f t="shared" si="0"/>
        <v>0</v>
      </c>
    </row>
    <row r="3" ht="30" customHeight="1" spans="1:59" x14ac:dyDescent="0.25">
      <c r="A3" s="5"/>
      <c r="B3" s="10" t="s">
        <v>5</v>
      </c>
      <c r="C3" s="11"/>
      <c r="D3" s="12" t="s">
        <v>6</v>
      </c>
      <c r="E3" s="12" t="s">
        <v>7</v>
      </c>
      <c r="F3" s="13"/>
      <c r="G3" s="14" t="s">
        <v>8</v>
      </c>
      <c r="H3" s="14" t="s">
        <v>9</v>
      </c>
      <c r="I3" s="14" t="s">
        <v>10</v>
      </c>
      <c r="J3" s="14" t="s">
        <v>11</v>
      </c>
      <c r="K3" s="14" t="s">
        <v>12</v>
      </c>
      <c r="L3" s="14" t="s">
        <v>13</v>
      </c>
      <c r="M3" s="14" t="s">
        <v>14</v>
      </c>
      <c r="N3" s="14" t="s">
        <v>15</v>
      </c>
      <c r="O3" s="14" t="s">
        <v>16</v>
      </c>
      <c r="P3" s="14" t="s">
        <v>17</v>
      </c>
      <c r="Q3" s="14" t="s">
        <v>18</v>
      </c>
      <c r="R3" s="14" t="s">
        <v>19</v>
      </c>
      <c r="S3" s="14" t="s">
        <v>20</v>
      </c>
      <c r="T3" s="14" t="s">
        <v>21</v>
      </c>
      <c r="U3" s="14" t="s">
        <v>22</v>
      </c>
      <c r="V3" s="14" t="s">
        <v>23</v>
      </c>
      <c r="W3" s="14" t="s">
        <v>24</v>
      </c>
      <c r="X3" s="14" t="s">
        <v>25</v>
      </c>
      <c r="Y3" s="14" t="s">
        <v>26</v>
      </c>
      <c r="Z3" s="14" t="s">
        <v>27</v>
      </c>
      <c r="AA3" s="14" t="s">
        <v>28</v>
      </c>
      <c r="AB3" s="14" t="s">
        <v>29</v>
      </c>
      <c r="AC3" s="14" t="s">
        <v>30</v>
      </c>
      <c r="AD3" s="14" t="s">
        <v>31</v>
      </c>
      <c r="AE3" s="14" t="s">
        <v>32</v>
      </c>
      <c r="AF3" s="14" t="s">
        <v>33</v>
      </c>
      <c r="AG3" s="14" t="s">
        <v>34</v>
      </c>
      <c r="AH3" s="14" t="s">
        <v>35</v>
      </c>
      <c r="AI3" s="14" t="s">
        <v>36</v>
      </c>
      <c r="AJ3" s="14" t="s">
        <v>37</v>
      </c>
      <c r="AK3" s="14" t="s">
        <v>38</v>
      </c>
      <c r="AL3" s="14" t="s">
        <v>39</v>
      </c>
      <c r="AM3" s="14" t="s">
        <v>40</v>
      </c>
      <c r="AN3" s="14" t="s">
        <v>41</v>
      </c>
      <c r="AP3" s="15" t="s">
        <v>42</v>
      </c>
      <c r="AR3">
        <v>1</v>
      </c>
      <c r="AS3">
        <f t="shared" ref="AS3:BG18" si="1">IF($C$3&gt;=AS$1,AR3,"")</f>
        <v>1</v>
      </c>
      <c r="AT3">
        <f t="shared" si="1"/>
        <v>1</v>
      </c>
      <c r="AU3">
        <f t="shared" si="1"/>
        <v>1</v>
      </c>
      <c r="AV3">
        <f t="shared" si="1"/>
        <v>1</v>
      </c>
      <c r="AW3">
        <f t="shared" si="1"/>
        <v>1</v>
      </c>
      <c r="AX3">
        <f t="shared" si="1"/>
        <v>1</v>
      </c>
      <c r="AY3">
        <f t="shared" si="1"/>
        <v>1</v>
      </c>
      <c r="AZ3">
        <f t="shared" si="1"/>
        <v>1</v>
      </c>
      <c r="BA3">
        <f t="shared" si="1"/>
        <v>1</v>
      </c>
      <c r="BB3">
        <f t="shared" si="1"/>
        <v>1</v>
      </c>
      <c r="BC3">
        <f t="shared" si="1"/>
        <v>1</v>
      </c>
      <c r="BD3">
        <f t="shared" si="1"/>
        <v>1</v>
      </c>
      <c r="BE3">
        <f t="shared" si="1"/>
        <v>1</v>
      </c>
      <c r="BF3">
        <f t="shared" si="1"/>
        <v>1</v>
      </c>
      <c r="BG3">
        <f t="shared" si="0"/>
        <v>1</v>
      </c>
    </row>
    <row r="4" spans="1:59" x14ac:dyDescent="0.25">
      <c r="A4" s="5"/>
      <c r="B4" s="16"/>
      <c r="C4" s="17" t="s">
        <v>43</v>
      </c>
      <c r="D4" s="18"/>
      <c r="E4" s="19">
        <f>D4-SUM(G4:AN4)</f>
        <v>0</v>
      </c>
      <c r="F4" s="13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20"/>
      <c r="AL4" s="18"/>
      <c r="AM4" s="18"/>
      <c r="AN4" s="18"/>
      <c r="AP4" s="21">
        <f>SUM(D4:D7)</f>
        <v>0</v>
      </c>
      <c r="AR4">
        <v>2</v>
      </c>
      <c r="AS4">
        <f t="shared" si="1"/>
        <v>2</v>
      </c>
      <c r="AT4">
        <f t="shared" si="1"/>
        <v>2</v>
      </c>
      <c r="AU4">
        <f t="shared" si="1"/>
        <v>2</v>
      </c>
      <c r="AV4">
        <f t="shared" si="1"/>
        <v>2</v>
      </c>
      <c r="AW4">
        <f t="shared" si="1"/>
        <v>2</v>
      </c>
      <c r="AX4">
        <f t="shared" si="1"/>
        <v>2</v>
      </c>
      <c r="AY4">
        <f t="shared" si="1"/>
        <v>2</v>
      </c>
      <c r="AZ4">
        <f t="shared" si="1"/>
        <v>2</v>
      </c>
      <c r="BA4">
        <f t="shared" si="1"/>
        <v>2</v>
      </c>
      <c r="BB4">
        <f t="shared" si="1"/>
        <v>2</v>
      </c>
      <c r="BC4">
        <f t="shared" si="1"/>
        <v>2</v>
      </c>
      <c r="BD4">
        <f t="shared" si="1"/>
        <v>2</v>
      </c>
      <c r="BE4">
        <f t="shared" si="1"/>
        <v>2</v>
      </c>
      <c r="BF4">
        <f t="shared" si="1"/>
        <v>2</v>
      </c>
      <c r="BG4">
        <f t="shared" si="0"/>
        <v>2</v>
      </c>
    </row>
    <row r="5" spans="1:59" x14ac:dyDescent="0.25">
      <c r="A5" s="5"/>
      <c r="B5" s="22"/>
      <c r="C5" s="17" t="s">
        <v>44</v>
      </c>
      <c r="D5" s="18"/>
      <c r="E5" s="19">
        <f t="shared" ref="E5:E14" si="2">D5-SUM(G5:AN5)</f>
        <v>0</v>
      </c>
      <c r="F5" s="13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20"/>
      <c r="AL5" s="18"/>
      <c r="AM5" s="18"/>
      <c r="AN5" s="18"/>
      <c r="AP5" s="23"/>
      <c r="AR5">
        <v>3</v>
      </c>
      <c r="AS5">
        <f t="shared" si="1"/>
        <v>3</v>
      </c>
      <c r="AT5">
        <f t="shared" si="1"/>
        <v>3</v>
      </c>
      <c r="AU5">
        <f t="shared" si="1"/>
        <v>3</v>
      </c>
      <c r="AV5">
        <f t="shared" si="1"/>
        <v>3</v>
      </c>
      <c r="AW5">
        <f t="shared" si="1"/>
        <v>3</v>
      </c>
      <c r="AX5">
        <f t="shared" si="1"/>
        <v>3</v>
      </c>
      <c r="AY5">
        <f t="shared" si="1"/>
        <v>3</v>
      </c>
      <c r="AZ5">
        <f t="shared" si="1"/>
        <v>3</v>
      </c>
      <c r="BA5">
        <f t="shared" si="1"/>
        <v>3</v>
      </c>
      <c r="BB5">
        <f t="shared" si="1"/>
        <v>3</v>
      </c>
      <c r="BC5">
        <f t="shared" si="1"/>
        <v>3</v>
      </c>
      <c r="BD5">
        <f t="shared" si="1"/>
        <v>3</v>
      </c>
      <c r="BE5">
        <f t="shared" si="1"/>
        <v>3</v>
      </c>
      <c r="BF5">
        <f t="shared" si="1"/>
        <v>3</v>
      </c>
      <c r="BG5">
        <f t="shared" si="0"/>
        <v>3</v>
      </c>
    </row>
    <row r="6" spans="1:59" x14ac:dyDescent="0.25">
      <c r="A6" s="5"/>
      <c r="B6" s="22"/>
      <c r="C6" s="17" t="s">
        <v>45</v>
      </c>
      <c r="D6" s="18"/>
      <c r="E6" s="19">
        <f t="shared" si="2"/>
        <v>0</v>
      </c>
      <c r="F6" s="13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20"/>
      <c r="AL6" s="18"/>
      <c r="AM6" s="18"/>
      <c r="AN6" s="18"/>
      <c r="AP6" s="24" t="s">
        <v>46</v>
      </c>
      <c r="AR6">
        <v>4</v>
      </c>
      <c r="AS6">
        <f t="shared" si="1"/>
        <v>4</v>
      </c>
      <c r="AT6">
        <f t="shared" si="1"/>
        <v>4</v>
      </c>
      <c r="AU6">
        <f t="shared" si="1"/>
        <v>4</v>
      </c>
      <c r="AV6">
        <f t="shared" si="1"/>
        <v>4</v>
      </c>
      <c r="AW6">
        <f t="shared" si="1"/>
        <v>4</v>
      </c>
      <c r="AX6">
        <f t="shared" si="1"/>
        <v>4</v>
      </c>
      <c r="AY6">
        <f t="shared" si="1"/>
        <v>4</v>
      </c>
      <c r="AZ6">
        <f t="shared" si="1"/>
        <v>4</v>
      </c>
      <c r="BA6">
        <f t="shared" si="1"/>
        <v>4</v>
      </c>
      <c r="BB6">
        <f t="shared" si="1"/>
        <v>4</v>
      </c>
      <c r="BC6">
        <f t="shared" si="1"/>
        <v>4</v>
      </c>
      <c r="BD6">
        <f t="shared" si="1"/>
        <v>4</v>
      </c>
      <c r="BE6">
        <f t="shared" si="1"/>
        <v>4</v>
      </c>
      <c r="BF6">
        <f t="shared" si="1"/>
        <v>4</v>
      </c>
      <c r="BG6">
        <f t="shared" si="0"/>
        <v>4</v>
      </c>
    </row>
    <row r="7" spans="1:59" x14ac:dyDescent="0.25">
      <c r="A7" s="5"/>
      <c r="B7" s="22"/>
      <c r="C7" s="17" t="s">
        <v>47</v>
      </c>
      <c r="D7" s="18"/>
      <c r="E7" s="19">
        <f t="shared" si="2"/>
        <v>0</v>
      </c>
      <c r="F7" s="13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20"/>
      <c r="AL7" s="18"/>
      <c r="AM7" s="18"/>
      <c r="AN7" s="18"/>
      <c r="AP7" s="25">
        <f>SUM(D8:D14)</f>
        <v>378</v>
      </c>
      <c r="AR7">
        <v>5</v>
      </c>
      <c r="AS7">
        <f t="shared" si="1"/>
        <v>5</v>
      </c>
      <c r="AT7">
        <f t="shared" si="1"/>
        <v>5</v>
      </c>
      <c r="AU7">
        <f t="shared" si="1"/>
        <v>5</v>
      </c>
      <c r="AV7">
        <f t="shared" si="1"/>
        <v>5</v>
      </c>
      <c r="AW7">
        <f t="shared" si="1"/>
        <v>5</v>
      </c>
      <c r="AX7">
        <f t="shared" si="1"/>
        <v>5</v>
      </c>
      <c r="AY7">
        <f t="shared" si="1"/>
        <v>5</v>
      </c>
      <c r="AZ7">
        <f t="shared" si="1"/>
        <v>5</v>
      </c>
      <c r="BA7">
        <f t="shared" si="1"/>
        <v>5</v>
      </c>
      <c r="BB7">
        <f t="shared" si="1"/>
        <v>5</v>
      </c>
      <c r="BC7">
        <f t="shared" si="1"/>
        <v>5</v>
      </c>
      <c r="BD7">
        <f t="shared" si="1"/>
        <v>5</v>
      </c>
      <c r="BE7">
        <f t="shared" si="1"/>
        <v>5</v>
      </c>
      <c r="BF7">
        <f t="shared" si="1"/>
        <v>5</v>
      </c>
      <c r="BG7">
        <f t="shared" si="0"/>
        <v>5</v>
      </c>
    </row>
    <row r="8" spans="1:59" x14ac:dyDescent="0.25">
      <c r="A8" s="5"/>
      <c r="B8" s="22"/>
      <c r="C8" s="17" t="s">
        <v>48</v>
      </c>
      <c r="D8" s="18"/>
      <c r="E8" s="19">
        <f t="shared" si="2"/>
        <v>0</v>
      </c>
      <c r="F8" s="13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20"/>
      <c r="AL8" s="18"/>
      <c r="AM8" s="18"/>
      <c r="AN8" s="18"/>
      <c r="AP8" s="24" t="s">
        <v>49</v>
      </c>
      <c r="AR8">
        <v>6</v>
      </c>
      <c r="AS8">
        <f t="shared" si="1"/>
        <v>6</v>
      </c>
      <c r="AT8">
        <f t="shared" si="1"/>
        <v>6</v>
      </c>
      <c r="AU8">
        <f t="shared" si="1"/>
        <v>6</v>
      </c>
      <c r="AV8">
        <f t="shared" si="1"/>
        <v>6</v>
      </c>
      <c r="AW8">
        <f t="shared" si="1"/>
        <v>6</v>
      </c>
      <c r="AX8">
        <f t="shared" si="1"/>
        <v>6</v>
      </c>
      <c r="AY8">
        <f t="shared" si="1"/>
        <v>6</v>
      </c>
      <c r="AZ8">
        <f t="shared" si="1"/>
        <v>6</v>
      </c>
      <c r="BA8">
        <f t="shared" si="1"/>
        <v>6</v>
      </c>
      <c r="BB8">
        <f t="shared" si="1"/>
        <v>6</v>
      </c>
      <c r="BC8">
        <f t="shared" si="1"/>
        <v>6</v>
      </c>
      <c r="BD8">
        <f t="shared" si="1"/>
        <v>6</v>
      </c>
      <c r="BE8">
        <f t="shared" si="1"/>
        <v>6</v>
      </c>
      <c r="BF8">
        <f t="shared" si="1"/>
        <v>6</v>
      </c>
      <c r="BG8">
        <f t="shared" si="0"/>
        <v>6</v>
      </c>
    </row>
    <row r="9" spans="1:59" x14ac:dyDescent="0.25">
      <c r="A9" s="5"/>
      <c r="B9" s="22"/>
      <c r="C9" s="17" t="s">
        <v>50</v>
      </c>
      <c r="D9" s="18"/>
      <c r="E9" s="19">
        <f t="shared" si="2"/>
        <v>0</v>
      </c>
      <c r="F9" s="13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20"/>
      <c r="AL9" s="18"/>
      <c r="AM9" s="18"/>
      <c r="AN9" s="18"/>
      <c r="AP9" s="24">
        <f>SUM(D8:D9)</f>
        <v>150</v>
      </c>
      <c r="AR9">
        <v>7</v>
      </c>
      <c r="AS9">
        <f t="shared" si="1"/>
        <v>7</v>
      </c>
      <c r="AT9">
        <f t="shared" si="1"/>
        <v>7</v>
      </c>
      <c r="AU9">
        <f t="shared" si="1"/>
        <v>7</v>
      </c>
      <c r="AV9">
        <f t="shared" si="1"/>
        <v>7</v>
      </c>
      <c r="AW9">
        <f t="shared" si="1"/>
        <v>7</v>
      </c>
      <c r="AX9">
        <f t="shared" si="1"/>
        <v>7</v>
      </c>
      <c r="AY9">
        <f t="shared" si="1"/>
        <v>7</v>
      </c>
      <c r="AZ9">
        <f t="shared" si="1"/>
        <v>7</v>
      </c>
      <c r="BA9">
        <f t="shared" si="1"/>
        <v>7</v>
      </c>
      <c r="BB9">
        <f t="shared" si="1"/>
        <v>7</v>
      </c>
      <c r="BC9">
        <f t="shared" si="1"/>
        <v>7</v>
      </c>
      <c r="BD9">
        <f t="shared" si="1"/>
        <v>7</v>
      </c>
      <c r="BE9">
        <f t="shared" si="1"/>
        <v>7</v>
      </c>
      <c r="BF9">
        <f t="shared" si="1"/>
        <v>7</v>
      </c>
      <c r="BG9">
        <f t="shared" si="0"/>
        <v>7</v>
      </c>
    </row>
    <row r="10" spans="1:59" x14ac:dyDescent="0.25">
      <c r="A10" s="5"/>
      <c r="B10" s="22"/>
      <c r="C10" s="17" t="s">
        <v>51</v>
      </c>
      <c r="D10" s="18"/>
      <c r="E10" s="19">
        <f t="shared" si="2"/>
        <v>0</v>
      </c>
      <c r="F10" s="13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20"/>
      <c r="AL10" s="18"/>
      <c r="AM10" s="18"/>
      <c r="AN10" s="18"/>
      <c r="AP10" s="24" t="s">
        <v>52</v>
      </c>
      <c r="AR10">
        <v>8</v>
      </c>
      <c r="AS10">
        <f t="shared" si="1"/>
        <v>8</v>
      </c>
      <c r="AT10">
        <f t="shared" si="1"/>
        <v>8</v>
      </c>
      <c r="AU10">
        <f t="shared" si="1"/>
        <v>8</v>
      </c>
      <c r="AV10">
        <f t="shared" si="1"/>
        <v>8</v>
      </c>
      <c r="AW10">
        <f t="shared" si="1"/>
        <v>8</v>
      </c>
      <c r="AX10">
        <f t="shared" si="1"/>
        <v>8</v>
      </c>
      <c r="AY10">
        <f t="shared" si="1"/>
        <v>8</v>
      </c>
      <c r="AZ10">
        <f t="shared" si="1"/>
        <v>8</v>
      </c>
      <c r="BA10">
        <f t="shared" si="1"/>
        <v>8</v>
      </c>
      <c r="BB10">
        <f t="shared" si="1"/>
        <v>8</v>
      </c>
      <c r="BC10">
        <f t="shared" si="1"/>
        <v>8</v>
      </c>
      <c r="BD10">
        <f t="shared" si="1"/>
        <v>8</v>
      </c>
      <c r="BE10">
        <f t="shared" si="1"/>
        <v>8</v>
      </c>
      <c r="BF10">
        <f t="shared" si="1"/>
        <v>8</v>
      </c>
      <c r="BG10">
        <f t="shared" si="0"/>
        <v>8</v>
      </c>
    </row>
    <row r="11" spans="1:59" x14ac:dyDescent="0.25">
      <c r="A11" s="5"/>
      <c r="B11" s="22"/>
      <c r="C11" s="17" t="s">
        <v>53</v>
      </c>
      <c r="D11" s="18"/>
      <c r="E11" s="19">
        <f t="shared" si="2"/>
        <v>0</v>
      </c>
      <c r="F11" s="13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P11" s="26">
        <f>SUM(D10:D14)</f>
        <v>228</v>
      </c>
      <c r="AR11">
        <v>9</v>
      </c>
      <c r="AS11">
        <f t="shared" si="1"/>
        <v>9</v>
      </c>
      <c r="AT11">
        <f t="shared" si="1"/>
        <v>9</v>
      </c>
      <c r="AU11">
        <f t="shared" si="1"/>
        <v>9</v>
      </c>
      <c r="AV11">
        <f t="shared" si="1"/>
        <v>9</v>
      </c>
      <c r="AW11">
        <f t="shared" si="1"/>
        <v>9</v>
      </c>
      <c r="AX11">
        <f t="shared" si="1"/>
        <v>9</v>
      </c>
      <c r="AY11">
        <f t="shared" si="1"/>
        <v>9</v>
      </c>
      <c r="AZ11">
        <f t="shared" si="1"/>
        <v>9</v>
      </c>
      <c r="BA11">
        <f t="shared" si="1"/>
        <v>9</v>
      </c>
      <c r="BB11">
        <f t="shared" si="1"/>
        <v>9</v>
      </c>
      <c r="BC11">
        <f t="shared" si="1"/>
        <v>9</v>
      </c>
      <c r="BD11">
        <f t="shared" si="1"/>
        <v>9</v>
      </c>
      <c r="BE11">
        <f t="shared" si="1"/>
        <v>9</v>
      </c>
      <c r="BF11">
        <f t="shared" si="1"/>
        <v>9</v>
      </c>
      <c r="BG11">
        <f t="shared" si="0"/>
        <v>9</v>
      </c>
    </row>
    <row r="12" spans="1:59" x14ac:dyDescent="0.25">
      <c r="A12" s="5"/>
      <c r="B12" s="22"/>
      <c r="C12" s="17" t="s">
        <v>54</v>
      </c>
      <c r="D12" s="18"/>
      <c r="E12" s="19">
        <f t="shared" si="2"/>
        <v>0</v>
      </c>
      <c r="F12" s="13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P12" s="27"/>
      <c r="AR12">
        <v>10</v>
      </c>
      <c r="AS12">
        <f t="shared" si="1"/>
        <v>10</v>
      </c>
      <c r="AT12">
        <f t="shared" si="1"/>
        <v>10</v>
      </c>
      <c r="AU12">
        <f t="shared" si="1"/>
        <v>10</v>
      </c>
      <c r="AV12">
        <f t="shared" si="1"/>
        <v>10</v>
      </c>
      <c r="AW12">
        <f t="shared" si="1"/>
        <v>10</v>
      </c>
      <c r="AX12">
        <f t="shared" si="1"/>
        <v>10</v>
      </c>
      <c r="AY12">
        <f t="shared" si="1"/>
        <v>10</v>
      </c>
      <c r="AZ12">
        <f t="shared" si="1"/>
        <v>10</v>
      </c>
      <c r="BA12">
        <f t="shared" si="1"/>
        <v>10</v>
      </c>
      <c r="BB12">
        <f t="shared" si="1"/>
        <v>10</v>
      </c>
      <c r="BC12">
        <f t="shared" si="1"/>
        <v>10</v>
      </c>
      <c r="BD12">
        <f t="shared" si="1"/>
        <v>10</v>
      </c>
      <c r="BE12">
        <f t="shared" si="1"/>
        <v>10</v>
      </c>
      <c r="BF12">
        <f t="shared" si="1"/>
        <v>10</v>
      </c>
      <c r="BG12">
        <f t="shared" si="0"/>
        <v>10</v>
      </c>
    </row>
    <row r="13" spans="1:59" x14ac:dyDescent="0.25">
      <c r="A13" s="5"/>
      <c r="B13" s="22"/>
      <c r="C13" s="28" t="s">
        <v>55</v>
      </c>
      <c r="D13" s="18"/>
      <c r="E13" s="19">
        <f t="shared" si="2"/>
        <v>0</v>
      </c>
      <c r="F13" s="13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18"/>
      <c r="AJ13" s="18"/>
      <c r="AK13" s="18"/>
      <c r="AL13" s="18"/>
      <c r="AM13" s="18"/>
      <c r="AN13" s="18"/>
      <c r="AP13" s="29" t="s">
        <v>56</v>
      </c>
      <c r="AR13">
        <v>11</v>
      </c>
      <c r="AS13">
        <f t="shared" si="1"/>
        <v>11</v>
      </c>
      <c r="AT13">
        <f t="shared" si="1"/>
        <v>11</v>
      </c>
      <c r="AU13">
        <f t="shared" si="1"/>
        <v>11</v>
      </c>
      <c r="AV13">
        <f t="shared" si="1"/>
        <v>11</v>
      </c>
      <c r="AW13">
        <f t="shared" si="1"/>
        <v>11</v>
      </c>
      <c r="AX13">
        <f t="shared" si="1"/>
        <v>11</v>
      </c>
      <c r="AY13">
        <f t="shared" si="1"/>
        <v>11</v>
      </c>
      <c r="AZ13">
        <f t="shared" si="1"/>
        <v>11</v>
      </c>
      <c r="BA13">
        <f t="shared" si="1"/>
        <v>11</v>
      </c>
      <c r="BB13">
        <f t="shared" si="1"/>
        <v>11</v>
      </c>
      <c r="BC13">
        <f t="shared" si="1"/>
        <v>11</v>
      </c>
      <c r="BD13">
        <f t="shared" si="1"/>
        <v>11</v>
      </c>
      <c r="BE13">
        <f t="shared" si="1"/>
        <v>11</v>
      </c>
      <c r="BF13">
        <f t="shared" si="1"/>
        <v>11</v>
      </c>
      <c r="BG13">
        <f t="shared" si="0"/>
        <v>11</v>
      </c>
    </row>
    <row r="14" ht="15.75" customHeight="1" spans="1:59" x14ac:dyDescent="0.25">
      <c r="A14" s="5"/>
      <c r="B14" s="22"/>
      <c r="C14" s="28"/>
      <c r="D14" s="18"/>
      <c r="E14" s="19">
        <f t="shared" si="2"/>
        <v>0</v>
      </c>
      <c r="F14" s="13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18"/>
      <c r="AJ14" s="18"/>
      <c r="AK14" s="18"/>
      <c r="AL14" s="18"/>
      <c r="AM14" s="18"/>
      <c r="AN14" s="18"/>
      <c r="AP14" s="30">
        <f>SUM(D13:D14)</f>
        <v>0</v>
      </c>
      <c r="AR14">
        <v>12</v>
      </c>
      <c r="AS14">
        <f t="shared" si="1"/>
        <v>12</v>
      </c>
      <c r="AT14">
        <f t="shared" si="1"/>
        <v>12</v>
      </c>
      <c r="AU14">
        <f t="shared" si="1"/>
        <v>12</v>
      </c>
      <c r="AV14">
        <f t="shared" si="1"/>
        <v>12</v>
      </c>
      <c r="AW14">
        <f t="shared" si="1"/>
        <v>12</v>
      </c>
      <c r="AX14">
        <f t="shared" si="1"/>
        <v>12</v>
      </c>
      <c r="AY14">
        <f t="shared" si="1"/>
        <v>12</v>
      </c>
      <c r="AZ14">
        <f t="shared" si="1"/>
        <v>12</v>
      </c>
      <c r="BA14">
        <f t="shared" si="1"/>
        <v>12</v>
      </c>
      <c r="BB14">
        <f t="shared" si="1"/>
        <v>12</v>
      </c>
      <c r="BC14">
        <f t="shared" si="1"/>
        <v>12</v>
      </c>
      <c r="BD14">
        <f t="shared" si="1"/>
        <v>12</v>
      </c>
      <c r="BE14">
        <f t="shared" si="1"/>
        <v>12</v>
      </c>
      <c r="BF14">
        <f t="shared" si="1"/>
        <v>12</v>
      </c>
      <c r="BG14">
        <f t="shared" si="0"/>
        <v>12</v>
      </c>
    </row>
    <row r="15" ht="15.75" customHeight="1" hidden="1" spans="1:59" x14ac:dyDescent="0.25">
      <c r="A15" s="5"/>
      <c r="B15" s="5"/>
      <c r="E15" s="31"/>
      <c r="F15" s="13"/>
      <c r="G15" t="s">
        <v>57</v>
      </c>
      <c r="AP15" s="31"/>
      <c r="AR15">
        <v>13</v>
      </c>
      <c r="AS15">
        <f t="shared" si="1"/>
        <v>13</v>
      </c>
      <c r="AT15">
        <f t="shared" si="1"/>
        <v>13</v>
      </c>
      <c r="AU15">
        <f t="shared" si="1"/>
        <v>13</v>
      </c>
      <c r="AV15">
        <f t="shared" si="1"/>
        <v>13</v>
      </c>
      <c r="AW15">
        <f t="shared" si="1"/>
        <v>13</v>
      </c>
      <c r="AX15">
        <f t="shared" si="1"/>
        <v>13</v>
      </c>
      <c r="AY15">
        <f t="shared" si="1"/>
        <v>13</v>
      </c>
      <c r="AZ15">
        <f t="shared" si="1"/>
        <v>13</v>
      </c>
      <c r="BA15">
        <f t="shared" si="1"/>
        <v>13</v>
      </c>
      <c r="BB15">
        <f t="shared" si="1"/>
        <v>13</v>
      </c>
      <c r="BC15">
        <f t="shared" si="1"/>
        <v>13</v>
      </c>
      <c r="BD15">
        <f t="shared" si="1"/>
        <v>13</v>
      </c>
      <c r="BE15">
        <f t="shared" si="1"/>
        <v>13</v>
      </c>
      <c r="BF15">
        <f t="shared" si="1"/>
        <v>13</v>
      </c>
      <c r="BG15">
        <f t="shared" si="0"/>
        <v>13</v>
      </c>
    </row>
    <row r="16" ht="15.75" customHeight="1" hidden="1" spans="1:59" x14ac:dyDescent="0.25">
      <c r="A16" s="5"/>
      <c r="B16" s="5" t="s">
        <v>58</v>
      </c>
      <c r="D16" s="32"/>
      <c r="E16" s="32"/>
      <c r="G16">
        <f>COUNTA(G4:G14)</f>
        <v>1</v>
      </c>
      <c r="H16">
        <f t="shared" ref="H16:AN16" si="3">COUNTA(H4:H14)</f>
        <v>1</v>
      </c>
      <c r="I16">
        <f t="shared" si="3"/>
        <v>1</v>
      </c>
      <c r="J16">
        <f t="shared" si="3"/>
        <v>1</v>
      </c>
      <c r="K16">
        <f t="shared" si="3"/>
        <v>1</v>
      </c>
      <c r="L16">
        <f t="shared" si="3"/>
        <v>1</v>
      </c>
      <c r="M16">
        <f t="shared" si="3"/>
        <v>1</v>
      </c>
      <c r="N16">
        <f t="shared" si="3"/>
        <v>1</v>
      </c>
      <c r="O16">
        <f t="shared" si="3"/>
        <v>1</v>
      </c>
      <c r="P16">
        <f t="shared" si="3"/>
        <v>1</v>
      </c>
      <c r="Q16">
        <f t="shared" si="3"/>
        <v>1</v>
      </c>
      <c r="R16">
        <f t="shared" si="3"/>
        <v>1</v>
      </c>
      <c r="S16">
        <f t="shared" si="3"/>
        <v>1</v>
      </c>
      <c r="T16">
        <f t="shared" si="3"/>
        <v>1</v>
      </c>
      <c r="U16">
        <f t="shared" si="3"/>
        <v>1</v>
      </c>
      <c r="V16">
        <f t="shared" si="3"/>
        <v>1</v>
      </c>
      <c r="W16">
        <f t="shared" si="3"/>
        <v>1</v>
      </c>
      <c r="X16">
        <f t="shared" si="3"/>
        <v>1</v>
      </c>
      <c r="Y16">
        <f t="shared" si="3"/>
        <v>1</v>
      </c>
      <c r="Z16">
        <f t="shared" si="3"/>
        <v>1</v>
      </c>
      <c r="AA16">
        <f t="shared" si="3"/>
        <v>1</v>
      </c>
      <c r="AB16">
        <f t="shared" si="3"/>
        <v>1</v>
      </c>
      <c r="AC16">
        <f t="shared" si="3"/>
        <v>0</v>
      </c>
      <c r="AD16">
        <f t="shared" si="3"/>
        <v>0</v>
      </c>
      <c r="AE16">
        <f t="shared" si="3"/>
        <v>0</v>
      </c>
      <c r="AF16">
        <f t="shared" si="3"/>
        <v>0</v>
      </c>
      <c r="AG16">
        <f t="shared" si="3"/>
        <v>0</v>
      </c>
      <c r="AH16">
        <f t="shared" si="3"/>
        <v>0</v>
      </c>
      <c r="AI16">
        <f t="shared" si="3"/>
        <v>0</v>
      </c>
      <c r="AJ16">
        <f t="shared" si="3"/>
        <v>0</v>
      </c>
      <c r="AK16">
        <f t="shared" si="3"/>
        <v>0</v>
      </c>
      <c r="AL16">
        <f t="shared" si="3"/>
        <v>0</v>
      </c>
      <c r="AM16">
        <f t="shared" si="3"/>
        <v>0</v>
      </c>
      <c r="AN16">
        <f t="shared" si="3"/>
        <v>0</v>
      </c>
      <c r="AP16" s="31"/>
      <c r="AR16">
        <v>14</v>
      </c>
      <c r="AS16">
        <f t="shared" si="1"/>
        <v>14</v>
      </c>
      <c r="AT16">
        <f t="shared" si="1"/>
        <v>14</v>
      </c>
      <c r="AU16">
        <f t="shared" si="1"/>
        <v>14</v>
      </c>
      <c r="AV16">
        <f t="shared" si="1"/>
        <v>14</v>
      </c>
      <c r="AW16">
        <f t="shared" si="1"/>
        <v>14</v>
      </c>
      <c r="AX16">
        <f t="shared" si="1"/>
        <v>14</v>
      </c>
      <c r="AY16">
        <f t="shared" si="1"/>
        <v>14</v>
      </c>
      <c r="AZ16">
        <f t="shared" si="1"/>
        <v>14</v>
      </c>
      <c r="BA16">
        <f t="shared" si="1"/>
        <v>14</v>
      </c>
      <c r="BB16">
        <f t="shared" si="1"/>
        <v>14</v>
      </c>
      <c r="BC16">
        <f t="shared" si="1"/>
        <v>14</v>
      </c>
      <c r="BD16">
        <f t="shared" si="1"/>
        <v>14</v>
      </c>
      <c r="BE16">
        <f t="shared" si="1"/>
        <v>14</v>
      </c>
      <c r="BF16">
        <f t="shared" si="1"/>
        <v>14</v>
      </c>
      <c r="BG16">
        <f t="shared" si="0"/>
        <v>14</v>
      </c>
    </row>
    <row r="17" ht="15.75" customHeight="1" hidden="1" spans="1:59" x14ac:dyDescent="0.25">
      <c r="A17" s="5"/>
      <c r="B17" s="5"/>
      <c r="D17" s="32"/>
      <c r="E17" s="32"/>
      <c r="G17">
        <v>1</v>
      </c>
      <c r="H17">
        <v>2</v>
      </c>
      <c r="I17">
        <v>3</v>
      </c>
      <c r="J17">
        <v>4</v>
      </c>
      <c r="K17">
        <v>5</v>
      </c>
      <c r="L17">
        <v>6</v>
      </c>
      <c r="M17">
        <v>7</v>
      </c>
      <c r="N17">
        <v>8</v>
      </c>
      <c r="O17">
        <v>9</v>
      </c>
      <c r="P17">
        <v>10</v>
      </c>
      <c r="Q17">
        <v>11</v>
      </c>
      <c r="R17">
        <v>12</v>
      </c>
      <c r="S17">
        <v>13</v>
      </c>
      <c r="T17">
        <v>14</v>
      </c>
      <c r="U17">
        <v>15</v>
      </c>
      <c r="V17">
        <v>16</v>
      </c>
      <c r="W17">
        <v>17</v>
      </c>
      <c r="X17">
        <v>18</v>
      </c>
      <c r="Y17">
        <v>19</v>
      </c>
      <c r="Z17">
        <v>20</v>
      </c>
      <c r="AA17">
        <v>21</v>
      </c>
      <c r="AB17">
        <v>22</v>
      </c>
      <c r="AC17">
        <v>23</v>
      </c>
      <c r="AD17">
        <v>24</v>
      </c>
      <c r="AE17">
        <v>25</v>
      </c>
      <c r="AF17">
        <v>26</v>
      </c>
      <c r="AG17">
        <v>27</v>
      </c>
      <c r="AH17">
        <v>28</v>
      </c>
      <c r="AI17">
        <v>29</v>
      </c>
      <c r="AJ17">
        <v>30</v>
      </c>
      <c r="AK17">
        <v>31</v>
      </c>
      <c r="AL17">
        <v>32</v>
      </c>
      <c r="AM17">
        <v>33</v>
      </c>
      <c r="AN17">
        <v>34</v>
      </c>
      <c r="AP17" s="31"/>
      <c r="AR17">
        <v>15</v>
      </c>
      <c r="AS17">
        <f t="shared" si="1"/>
        <v>15</v>
      </c>
      <c r="AT17">
        <f t="shared" si="1"/>
        <v>15</v>
      </c>
      <c r="AU17">
        <f t="shared" si="1"/>
        <v>15</v>
      </c>
      <c r="AV17">
        <f t="shared" si="1"/>
        <v>15</v>
      </c>
      <c r="AW17">
        <f t="shared" si="1"/>
        <v>15</v>
      </c>
      <c r="AX17">
        <f t="shared" si="1"/>
        <v>15</v>
      </c>
      <c r="AY17">
        <f t="shared" si="1"/>
        <v>15</v>
      </c>
      <c r="AZ17">
        <f t="shared" si="1"/>
        <v>15</v>
      </c>
      <c r="BA17">
        <f t="shared" si="1"/>
        <v>15</v>
      </c>
      <c r="BB17">
        <f t="shared" si="1"/>
        <v>15</v>
      </c>
      <c r="BC17">
        <f t="shared" si="1"/>
        <v>15</v>
      </c>
      <c r="BD17">
        <f t="shared" si="1"/>
        <v>15</v>
      </c>
      <c r="BE17">
        <f t="shared" si="1"/>
        <v>15</v>
      </c>
      <c r="BF17">
        <f t="shared" si="1"/>
        <v>15</v>
      </c>
      <c r="BG17">
        <f t="shared" si="0"/>
        <v>15</v>
      </c>
    </row>
    <row r="18" ht="15.75" customHeight="1" spans="1:59" x14ac:dyDescent="0.25">
      <c r="A18" s="5"/>
      <c r="B18" s="33"/>
      <c r="C18" s="34" t="s">
        <v>59</v>
      </c>
      <c r="D18" s="35">
        <f>SUM(D4:D14)</f>
        <v>378</v>
      </c>
      <c r="E18" s="35">
        <f>SUM(E4:E14)</f>
        <v>0</v>
      </c>
      <c r="F18" s="13"/>
      <c r="G18" s="36" t="s">
        <v>60</v>
      </c>
      <c r="H18" s="37"/>
      <c r="I18" s="38">
        <f>IF(C3=0,"",COUNTIF(PlageProfils,1))</f>
        <v>22</v>
      </c>
      <c r="J18" s="39" t="s">
        <v>61</v>
      </c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1">
        <f>IF(C3=0,"",COUNTIF(PlageProfils,2))</f>
        <v>0</v>
      </c>
      <c r="AF18" s="42" t="s">
        <v>62</v>
      </c>
      <c r="AG18" s="43"/>
      <c r="AH18" s="44">
        <f>IF(C3=0,"",COUNTIF(PlageProfils,3))</f>
        <v>0</v>
      </c>
      <c r="AI18" s="45" t="s">
        <v>63</v>
      </c>
      <c r="AJ18" s="46"/>
      <c r="AK18" s="47">
        <f>IF(C3=0,"",C3-(I18+AE18+AH18))</f>
        <v>0</v>
      </c>
      <c r="AP18" s="31"/>
      <c r="AR18">
        <v>16</v>
      </c>
      <c r="AS18">
        <f t="shared" si="1"/>
        <v>16</v>
      </c>
      <c r="AT18">
        <f t="shared" si="1"/>
        <v>16</v>
      </c>
      <c r="AU18">
        <f t="shared" si="1"/>
        <v>16</v>
      </c>
      <c r="AV18">
        <f t="shared" si="1"/>
        <v>16</v>
      </c>
      <c r="AW18">
        <f t="shared" si="1"/>
        <v>16</v>
      </c>
      <c r="AX18">
        <f t="shared" si="1"/>
        <v>16</v>
      </c>
      <c r="AY18">
        <f t="shared" si="1"/>
        <v>16</v>
      </c>
      <c r="AZ18">
        <f t="shared" si="1"/>
        <v>16</v>
      </c>
      <c r="BA18">
        <f t="shared" si="1"/>
        <v>16</v>
      </c>
      <c r="BB18">
        <f t="shared" si="1"/>
        <v>16</v>
      </c>
      <c r="BC18">
        <f t="shared" si="1"/>
        <v>16</v>
      </c>
      <c r="BD18">
        <f t="shared" si="1"/>
        <v>16</v>
      </c>
      <c r="BE18">
        <f t="shared" si="1"/>
        <v>16</v>
      </c>
      <c r="BF18">
        <f t="shared" si="1"/>
        <v>16</v>
      </c>
      <c r="BG18">
        <f t="shared" si="1"/>
        <v>16</v>
      </c>
    </row>
    <row r="19" ht="15.75" customHeight="1" spans="1:59" x14ac:dyDescent="0.25">
      <c r="A19" s="5"/>
      <c r="AP19" s="31"/>
      <c r="AR19">
        <v>17</v>
      </c>
      <c r="AS19">
        <f t="shared" ref="AS19:BG34" si="4">IF($C$3&gt;=AS$1,AR19,"")</f>
        <v>17</v>
      </c>
      <c r="AT19">
        <f t="shared" si="4"/>
        <v>17</v>
      </c>
      <c r="AU19">
        <f t="shared" si="4"/>
        <v>17</v>
      </c>
      <c r="AV19">
        <f t="shared" si="4"/>
        <v>17</v>
      </c>
      <c r="AW19">
        <f t="shared" si="4"/>
        <v>17</v>
      </c>
      <c r="AX19">
        <f t="shared" si="4"/>
        <v>17</v>
      </c>
      <c r="AY19">
        <f t="shared" si="4"/>
        <v>17</v>
      </c>
      <c r="AZ19">
        <f t="shared" si="4"/>
        <v>17</v>
      </c>
      <c r="BA19">
        <f t="shared" si="4"/>
        <v>17</v>
      </c>
      <c r="BB19">
        <f t="shared" si="4"/>
        <v>17</v>
      </c>
      <c r="BC19">
        <f t="shared" si="4"/>
        <v>17</v>
      </c>
      <c r="BD19">
        <f t="shared" si="4"/>
        <v>17</v>
      </c>
      <c r="BE19">
        <f t="shared" si="4"/>
        <v>17</v>
      </c>
      <c r="BF19">
        <f t="shared" si="4"/>
        <v>17</v>
      </c>
      <c r="BG19">
        <f t="shared" si="4"/>
        <v>17</v>
      </c>
    </row>
    <row r="20" spans="1:59" x14ac:dyDescent="0.25">
      <c r="A20" s="5"/>
      <c r="B20" s="48" t="s">
        <v>64</v>
      </c>
      <c r="C20" s="49"/>
      <c r="E20" s="50" t="s">
        <v>65</v>
      </c>
      <c r="F20" s="51"/>
      <c r="G20" s="52" t="s">
        <v>48</v>
      </c>
      <c r="H20" s="52" t="s">
        <v>48</v>
      </c>
      <c r="I20" s="52" t="s">
        <v>48</v>
      </c>
      <c r="J20" s="52" t="s">
        <v>48</v>
      </c>
      <c r="K20" s="52" t="s">
        <v>48</v>
      </c>
      <c r="L20" s="52" t="s">
        <v>48</v>
      </c>
      <c r="M20" s="52" t="s">
        <v>50</v>
      </c>
      <c r="N20" s="52" t="s">
        <v>50</v>
      </c>
      <c r="O20" s="52" t="s">
        <v>50</v>
      </c>
      <c r="P20" s="52" t="s">
        <v>50</v>
      </c>
      <c r="Q20" s="52" t="s">
        <v>50</v>
      </c>
      <c r="R20" s="52" t="s">
        <v>50</v>
      </c>
      <c r="S20" s="52" t="s">
        <v>51</v>
      </c>
      <c r="T20" s="52" t="s">
        <v>51</v>
      </c>
      <c r="U20" s="52" t="s">
        <v>51</v>
      </c>
      <c r="V20" s="52" t="s">
        <v>53</v>
      </c>
      <c r="W20" s="52" t="s">
        <v>53</v>
      </c>
      <c r="X20" s="52" t="s">
        <v>53</v>
      </c>
      <c r="Y20" s="52" t="s">
        <v>54</v>
      </c>
      <c r="Z20" s="52" t="s">
        <v>54</v>
      </c>
      <c r="AA20" s="52" t="s">
        <v>54</v>
      </c>
      <c r="AB20" s="52" t="s">
        <v>54</v>
      </c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P20" s="31"/>
      <c r="AR20">
        <v>18</v>
      </c>
      <c r="AS20">
        <f t="shared" si="4"/>
        <v>18</v>
      </c>
      <c r="AT20">
        <f t="shared" si="4"/>
        <v>18</v>
      </c>
      <c r="AU20">
        <f t="shared" si="4"/>
        <v>18</v>
      </c>
      <c r="AV20">
        <f t="shared" si="4"/>
        <v>18</v>
      </c>
      <c r="AW20">
        <f t="shared" si="4"/>
        <v>18</v>
      </c>
      <c r="AX20">
        <f t="shared" si="4"/>
        <v>18</v>
      </c>
      <c r="AY20">
        <f t="shared" si="4"/>
        <v>18</v>
      </c>
      <c r="AZ20">
        <f t="shared" si="4"/>
        <v>18</v>
      </c>
      <c r="BA20">
        <f t="shared" si="4"/>
        <v>18</v>
      </c>
      <c r="BB20">
        <f t="shared" si="4"/>
        <v>18</v>
      </c>
      <c r="BC20">
        <f t="shared" si="4"/>
        <v>18</v>
      </c>
      <c r="BD20">
        <f t="shared" si="4"/>
        <v>18</v>
      </c>
      <c r="BE20">
        <f t="shared" si="4"/>
        <v>18</v>
      </c>
      <c r="BF20">
        <f t="shared" si="4"/>
        <v>18</v>
      </c>
      <c r="BG20">
        <f t="shared" si="4"/>
        <v>18</v>
      </c>
    </row>
    <row r="21" spans="1:59" x14ac:dyDescent="0.25">
      <c r="A21" s="5"/>
      <c r="B21" s="53"/>
      <c r="C21" s="54"/>
      <c r="E21" s="50" t="s">
        <v>66</v>
      </c>
      <c r="F21" s="51"/>
      <c r="G21" s="55">
        <f t="shared" ref="G21:AN21" si="5">IF(COUNTA(G4:G14)=0,"",SUM(G4:G14))</f>
        <v>12</v>
      </c>
      <c r="H21" s="55">
        <f t="shared" si="5"/>
        <v>12</v>
      </c>
      <c r="I21" s="55">
        <f t="shared" si="5"/>
        <v>12</v>
      </c>
      <c r="J21" s="55">
        <f t="shared" si="5"/>
        <v>12</v>
      </c>
      <c r="K21" s="55">
        <f t="shared" si="5"/>
        <v>12</v>
      </c>
      <c r="L21" s="55">
        <f t="shared" si="5"/>
        <v>12</v>
      </c>
      <c r="M21" s="55">
        <f t="shared" si="5"/>
        <v>13</v>
      </c>
      <c r="N21" s="55">
        <f t="shared" si="5"/>
        <v>13</v>
      </c>
      <c r="O21" s="55">
        <f t="shared" si="5"/>
        <v>13</v>
      </c>
      <c r="P21" s="55">
        <f t="shared" si="5"/>
        <v>13</v>
      </c>
      <c r="Q21" s="55">
        <f t="shared" si="5"/>
        <v>13</v>
      </c>
      <c r="R21" s="55">
        <f t="shared" si="5"/>
        <v>13</v>
      </c>
      <c r="S21" s="55">
        <f t="shared" si="5"/>
        <v>25</v>
      </c>
      <c r="T21" s="55">
        <f t="shared" si="5"/>
        <v>25</v>
      </c>
      <c r="U21" s="55">
        <f t="shared" si="5"/>
        <v>24</v>
      </c>
      <c r="V21" s="55">
        <f t="shared" si="5"/>
        <v>24</v>
      </c>
      <c r="W21" s="55">
        <f t="shared" si="5"/>
        <v>24</v>
      </c>
      <c r="X21" s="55">
        <f t="shared" si="5"/>
        <v>25</v>
      </c>
      <c r="Y21" s="55">
        <f t="shared" si="5"/>
        <v>20</v>
      </c>
      <c r="Z21" s="55">
        <f t="shared" si="5"/>
        <v>20</v>
      </c>
      <c r="AA21" s="55">
        <f t="shared" si="5"/>
        <v>20</v>
      </c>
      <c r="AB21" s="55">
        <f t="shared" si="5"/>
        <v>21</v>
      </c>
      <c r="AC21" s="55">
        <f t="shared" si="5"/>
      </c>
      <c r="AD21" s="55">
        <f t="shared" si="5"/>
      </c>
      <c r="AE21" s="55">
        <f t="shared" si="5"/>
      </c>
      <c r="AF21" s="55">
        <f t="shared" si="5"/>
      </c>
      <c r="AG21" s="55">
        <f t="shared" si="5"/>
      </c>
      <c r="AH21" s="55">
        <f t="shared" si="5"/>
      </c>
      <c r="AI21" s="55">
        <f t="shared" si="5"/>
      </c>
      <c r="AJ21" s="55">
        <f t="shared" si="5"/>
      </c>
      <c r="AK21" s="55">
        <f t="shared" si="5"/>
      </c>
      <c r="AL21" s="55">
        <f t="shared" si="5"/>
      </c>
      <c r="AM21" s="55">
        <f t="shared" si="5"/>
      </c>
      <c r="AN21" s="55">
        <f t="shared" si="5"/>
      </c>
      <c r="AP21" s="31"/>
      <c r="AR21">
        <v>19</v>
      </c>
      <c r="AS21">
        <f t="shared" si="4"/>
        <v>19</v>
      </c>
      <c r="AT21">
        <f t="shared" si="4"/>
        <v>19</v>
      </c>
      <c r="AU21">
        <f t="shared" si="4"/>
        <v>19</v>
      </c>
      <c r="AV21">
        <f t="shared" si="4"/>
        <v>19</v>
      </c>
      <c r="AW21">
        <f t="shared" si="4"/>
        <v>19</v>
      </c>
      <c r="AX21">
        <f t="shared" si="4"/>
        <v>19</v>
      </c>
      <c r="AY21">
        <f t="shared" si="4"/>
        <v>19</v>
      </c>
      <c r="AZ21">
        <f t="shared" si="4"/>
        <v>19</v>
      </c>
      <c r="BA21">
        <f t="shared" si="4"/>
        <v>19</v>
      </c>
      <c r="BB21">
        <f t="shared" si="4"/>
        <v>19</v>
      </c>
      <c r="BC21">
        <f t="shared" si="4"/>
        <v>19</v>
      </c>
      <c r="BD21">
        <f t="shared" si="4"/>
        <v>19</v>
      </c>
      <c r="BE21">
        <f t="shared" si="4"/>
        <v>19</v>
      </c>
      <c r="BF21">
        <f t="shared" si="4"/>
        <v>19</v>
      </c>
      <c r="BG21">
        <f t="shared" si="4"/>
        <v>19</v>
      </c>
    </row>
    <row r="22" ht="4.5" customHeight="1" spans="1:59" x14ac:dyDescent="0.25">
      <c r="A22" s="5"/>
      <c r="B22" s="53"/>
      <c r="C22" s="54"/>
      <c r="AP22" s="31"/>
      <c r="AR22">
        <v>20</v>
      </c>
      <c r="AS22">
        <f t="shared" si="4"/>
        <v>20</v>
      </c>
      <c r="AT22">
        <f t="shared" si="4"/>
        <v>20</v>
      </c>
      <c r="AU22">
        <f t="shared" si="4"/>
        <v>20</v>
      </c>
      <c r="AV22">
        <f t="shared" si="4"/>
        <v>20</v>
      </c>
      <c r="AW22">
        <f t="shared" si="4"/>
        <v>20</v>
      </c>
      <c r="AX22">
        <f t="shared" si="4"/>
        <v>20</v>
      </c>
      <c r="AY22">
        <f t="shared" si="4"/>
        <v>20</v>
      </c>
      <c r="AZ22">
        <f t="shared" si="4"/>
        <v>20</v>
      </c>
      <c r="BA22">
        <f t="shared" si="4"/>
        <v>20</v>
      </c>
      <c r="BB22">
        <f t="shared" si="4"/>
        <v>20</v>
      </c>
      <c r="BC22">
        <f t="shared" si="4"/>
        <v>20</v>
      </c>
      <c r="BD22">
        <f t="shared" si="4"/>
        <v>20</v>
      </c>
      <c r="BE22">
        <f t="shared" si="4"/>
        <v>20</v>
      </c>
      <c r="BF22">
        <f t="shared" si="4"/>
        <v>20</v>
      </c>
      <c r="BG22">
        <f t="shared" si="4"/>
        <v>20</v>
      </c>
    </row>
    <row r="23" ht="15.75" customHeight="1" spans="1:59" x14ac:dyDescent="0.25">
      <c r="A23" s="5"/>
      <c r="B23" s="56"/>
      <c r="C23" s="57"/>
      <c r="E23" s="1" t="s">
        <v>67</v>
      </c>
      <c r="F23" s="58"/>
      <c r="G23" s="59">
        <f>SUM(G4:AN14)</f>
        <v>378</v>
      </c>
      <c r="J23" s="60" t="s">
        <v>68</v>
      </c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2"/>
      <c r="AI23" s="63" t="s">
        <v>69</v>
      </c>
      <c r="AJ23" s="64"/>
      <c r="AK23" s="64"/>
      <c r="AL23" s="64"/>
      <c r="AM23" s="64"/>
      <c r="AN23" s="65"/>
      <c r="AP23" s="31"/>
      <c r="AR23">
        <v>21</v>
      </c>
      <c r="AS23">
        <f t="shared" si="4"/>
        <v>21</v>
      </c>
      <c r="AT23">
        <f t="shared" si="4"/>
        <v>21</v>
      </c>
      <c r="AU23">
        <f t="shared" si="4"/>
        <v>21</v>
      </c>
      <c r="AV23">
        <f t="shared" si="4"/>
        <v>21</v>
      </c>
      <c r="AW23">
        <f t="shared" si="4"/>
        <v>21</v>
      </c>
      <c r="AX23">
        <f t="shared" si="4"/>
        <v>21</v>
      </c>
      <c r="AY23">
        <f t="shared" si="4"/>
        <v>21</v>
      </c>
      <c r="AZ23">
        <f t="shared" si="4"/>
        <v>21</v>
      </c>
      <c r="BA23">
        <f t="shared" si="4"/>
        <v>21</v>
      </c>
      <c r="BB23">
        <f t="shared" si="4"/>
        <v>21</v>
      </c>
      <c r="BC23">
        <f t="shared" si="4"/>
        <v>21</v>
      </c>
      <c r="BD23">
        <f t="shared" si="4"/>
        <v>21</v>
      </c>
      <c r="BE23">
        <f t="shared" si="4"/>
        <v>21</v>
      </c>
      <c r="BF23">
        <f t="shared" si="4"/>
        <v>21</v>
      </c>
      <c r="BG23">
        <f t="shared" si="4"/>
        <v>21</v>
      </c>
    </row>
    <row r="24" ht="15.75" customHeight="1" spans="1:59" x14ac:dyDescent="0.25">
      <c r="A24" s="5"/>
      <c r="E24" s="5" t="s">
        <v>70</v>
      </c>
      <c r="F24" s="66"/>
      <c r="G24" s="67">
        <f>IF(G23=0,"",AVEDEV(G21:AJ21))</f>
        <v>5.107438016528925</v>
      </c>
      <c r="J24" s="68" t="s">
        <v>71</v>
      </c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70"/>
      <c r="AE24" s="70"/>
      <c r="AF24" s="70"/>
      <c r="AG24" s="70"/>
      <c r="AH24" s="71"/>
      <c r="AI24" s="72"/>
      <c r="AJ24" s="73"/>
      <c r="AK24" s="73"/>
      <c r="AL24" s="73"/>
      <c r="AM24" s="73"/>
      <c r="AN24" s="74"/>
      <c r="AP24" s="31"/>
      <c r="AR24">
        <v>22</v>
      </c>
      <c r="AS24">
        <f t="shared" si="4"/>
        <v>22</v>
      </c>
      <c r="AT24">
        <f t="shared" si="4"/>
        <v>22</v>
      </c>
      <c r="AU24">
        <f t="shared" si="4"/>
        <v>22</v>
      </c>
      <c r="AV24">
        <f t="shared" si="4"/>
        <v>22</v>
      </c>
      <c r="AW24">
        <f t="shared" si="4"/>
        <v>22</v>
      </c>
      <c r="AX24">
        <f t="shared" si="4"/>
        <v>22</v>
      </c>
      <c r="AY24">
        <f t="shared" si="4"/>
        <v>22</v>
      </c>
      <c r="AZ24">
        <f t="shared" si="4"/>
        <v>22</v>
      </c>
      <c r="BA24">
        <f t="shared" si="4"/>
        <v>22</v>
      </c>
      <c r="BB24">
        <f t="shared" si="4"/>
        <v>22</v>
      </c>
      <c r="BC24">
        <f t="shared" si="4"/>
        <v>22</v>
      </c>
      <c r="BD24">
        <f t="shared" si="4"/>
        <v>22</v>
      </c>
      <c r="BE24">
        <f t="shared" si="4"/>
        <v>22</v>
      </c>
      <c r="BF24">
        <f t="shared" si="4"/>
        <v>22</v>
      </c>
      <c r="BG24">
        <f t="shared" si="4"/>
        <v>22</v>
      </c>
    </row>
    <row r="25" ht="30.75" customHeight="1" spans="1:59" x14ac:dyDescent="0.25">
      <c r="A25" s="5"/>
      <c r="B25" s="75" t="s">
        <v>72</v>
      </c>
      <c r="C25" s="76">
        <f>D18/C3</f>
        <v>17.181818181818183</v>
      </c>
      <c r="D25" s="77" t="s">
        <v>73</v>
      </c>
      <c r="E25" s="78">
        <f>IF(G23=0,"",AVERAGE(G21:AN21))</f>
        <v>17.181818181818183</v>
      </c>
      <c r="J25" s="79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1"/>
      <c r="AI25" s="72"/>
      <c r="AJ25" s="73"/>
      <c r="AK25" s="73"/>
      <c r="AL25" s="73"/>
      <c r="AM25" s="73"/>
      <c r="AN25" s="74"/>
      <c r="AP25" s="31"/>
      <c r="AR25">
        <v>23</v>
      </c>
      <c r="AS25">
        <f t="shared" si="4"/>
        <v>23</v>
      </c>
      <c r="AT25">
        <f t="shared" si="4"/>
        <v>23</v>
      </c>
      <c r="AU25">
        <f t="shared" si="4"/>
        <v>23</v>
      </c>
      <c r="AV25">
        <f t="shared" si="4"/>
        <v>23</v>
      </c>
      <c r="AW25">
        <f t="shared" si="4"/>
        <v>23</v>
      </c>
      <c r="AX25">
        <f t="shared" si="4"/>
        <v>23</v>
      </c>
      <c r="AY25">
        <f t="shared" si="4"/>
        <v>23</v>
      </c>
      <c r="AZ25">
        <f t="shared" si="4"/>
        <v>23</v>
      </c>
      <c r="BA25">
        <f t="shared" si="4"/>
        <v>23</v>
      </c>
      <c r="BB25">
        <f t="shared" si="4"/>
        <v>23</v>
      </c>
      <c r="BC25">
        <f t="shared" si="4"/>
        <v>23</v>
      </c>
      <c r="BD25">
        <f t="shared" si="4"/>
        <v>23</v>
      </c>
      <c r="BE25">
        <f t="shared" si="4"/>
        <v>23</v>
      </c>
      <c r="BF25">
        <f t="shared" si="4"/>
        <v>23</v>
      </c>
      <c r="BG25">
        <f t="shared" si="4"/>
        <v>23</v>
      </c>
    </row>
    <row r="26" ht="24" customHeight="1" spans="1:59" x14ac:dyDescent="0.25">
      <c r="A26" s="5"/>
      <c r="B26" s="80" t="s">
        <v>74</v>
      </c>
      <c r="C26" s="81">
        <f>IF(SUM(moyloc1)=0,"",AVERAGE(moyloc1))</f>
        <v>12</v>
      </c>
      <c r="D26" s="80" t="s">
        <v>75</v>
      </c>
      <c r="E26" s="81">
        <f>IF(SUM(moyloc2)=0,"",AVERAGE(moyloc2))</f>
        <v>16.88888888888889</v>
      </c>
      <c r="G26" s="80" t="s">
        <v>76</v>
      </c>
      <c r="H26" s="81">
        <f>IF(SUM(moyloc3)=0,"",AVERAGE(moyloc3))</f>
        <v>22</v>
      </c>
      <c r="J26" s="79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1"/>
      <c r="AI26" s="72"/>
      <c r="AJ26" s="73"/>
      <c r="AK26" s="73"/>
      <c r="AL26" s="73"/>
      <c r="AM26" s="73"/>
      <c r="AN26" s="74"/>
      <c r="AP26" s="31"/>
      <c r="AR26">
        <v>24</v>
      </c>
      <c r="AS26">
        <f t="shared" si="4"/>
        <v>24</v>
      </c>
      <c r="AT26">
        <f t="shared" si="4"/>
        <v>24</v>
      </c>
      <c r="AU26">
        <f t="shared" si="4"/>
        <v>24</v>
      </c>
      <c r="AV26">
        <f t="shared" si="4"/>
        <v>24</v>
      </c>
      <c r="AW26">
        <f t="shared" si="4"/>
        <v>24</v>
      </c>
      <c r="AX26">
        <f t="shared" si="4"/>
        <v>24</v>
      </c>
      <c r="AY26">
        <f t="shared" si="4"/>
        <v>24</v>
      </c>
      <c r="AZ26">
        <f t="shared" si="4"/>
        <v>24</v>
      </c>
      <c r="BA26">
        <f t="shared" si="4"/>
        <v>24</v>
      </c>
      <c r="BB26">
        <f t="shared" si="4"/>
        <v>24</v>
      </c>
      <c r="BC26">
        <f t="shared" si="4"/>
        <v>24</v>
      </c>
      <c r="BD26">
        <f t="shared" si="4"/>
        <v>24</v>
      </c>
      <c r="BE26">
        <f t="shared" si="4"/>
        <v>24</v>
      </c>
      <c r="BF26">
        <f t="shared" si="4"/>
        <v>24</v>
      </c>
      <c r="BG26">
        <f t="shared" si="4"/>
        <v>24</v>
      </c>
    </row>
    <row r="27" spans="1:59" x14ac:dyDescent="0.25">
      <c r="A27" s="5"/>
      <c r="B27" s="82" t="s">
        <v>77</v>
      </c>
      <c r="C27" s="83"/>
      <c r="D27" s="82" t="s">
        <v>77</v>
      </c>
      <c r="E27" s="83"/>
      <c r="F27" s="84"/>
      <c r="G27" s="82" t="s">
        <v>77</v>
      </c>
      <c r="H27" s="83"/>
      <c r="J27" s="79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1"/>
      <c r="AI27" s="72"/>
      <c r="AJ27" s="73"/>
      <c r="AK27" s="73"/>
      <c r="AL27" s="73"/>
      <c r="AM27" s="73"/>
      <c r="AN27" s="74"/>
      <c r="AP27" s="31"/>
      <c r="AR27">
        <v>25</v>
      </c>
      <c r="AS27">
        <f t="shared" si="4"/>
        <v>25</v>
      </c>
      <c r="AT27">
        <f t="shared" si="4"/>
        <v>25</v>
      </c>
      <c r="AU27">
        <f t="shared" si="4"/>
        <v>25</v>
      </c>
      <c r="AV27">
        <f t="shared" si="4"/>
        <v>25</v>
      </c>
      <c r="AW27">
        <f t="shared" si="4"/>
        <v>25</v>
      </c>
      <c r="AX27">
        <f t="shared" si="4"/>
        <v>25</v>
      </c>
      <c r="AY27">
        <f t="shared" si="4"/>
        <v>25</v>
      </c>
      <c r="AZ27">
        <f t="shared" si="4"/>
        <v>25</v>
      </c>
      <c r="BA27">
        <f t="shared" si="4"/>
        <v>25</v>
      </c>
      <c r="BB27">
        <f t="shared" si="4"/>
        <v>25</v>
      </c>
      <c r="BC27">
        <f t="shared" si="4"/>
        <v>25</v>
      </c>
      <c r="BD27">
        <f t="shared" si="4"/>
        <v>25</v>
      </c>
      <c r="BE27">
        <f t="shared" si="4"/>
        <v>25</v>
      </c>
      <c r="BF27">
        <f t="shared" si="4"/>
        <v>25</v>
      </c>
      <c r="BG27">
        <f t="shared" si="4"/>
        <v>25</v>
      </c>
    </row>
    <row r="28" spans="1:59" x14ac:dyDescent="0.25">
      <c r="A28" s="5"/>
      <c r="B28" s="85">
        <v>1</v>
      </c>
      <c r="C28" s="86"/>
      <c r="D28" s="85">
        <v>7</v>
      </c>
      <c r="E28" s="86"/>
      <c r="F28" s="84"/>
      <c r="G28" s="85">
        <v>16</v>
      </c>
      <c r="H28" s="86"/>
      <c r="J28" s="79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1"/>
      <c r="AI28" s="72"/>
      <c r="AJ28" s="73"/>
      <c r="AK28" s="73"/>
      <c r="AL28" s="73"/>
      <c r="AM28" s="73"/>
      <c r="AN28" s="74"/>
      <c r="AP28" s="31"/>
      <c r="AR28">
        <v>26</v>
      </c>
      <c r="AS28">
        <f t="shared" si="4"/>
        <v>26</v>
      </c>
      <c r="AT28">
        <f t="shared" si="4"/>
        <v>26</v>
      </c>
      <c r="AU28">
        <f t="shared" si="4"/>
        <v>26</v>
      </c>
      <c r="AV28">
        <f t="shared" si="4"/>
        <v>26</v>
      </c>
      <c r="AW28">
        <f t="shared" si="4"/>
        <v>26</v>
      </c>
      <c r="AX28">
        <f t="shared" si="4"/>
        <v>26</v>
      </c>
      <c r="AY28">
        <f t="shared" si="4"/>
        <v>26</v>
      </c>
      <c r="AZ28">
        <f t="shared" si="4"/>
        <v>26</v>
      </c>
      <c r="BA28">
        <f t="shared" si="4"/>
        <v>26</v>
      </c>
      <c r="BB28">
        <f t="shared" si="4"/>
        <v>26</v>
      </c>
      <c r="BC28">
        <f t="shared" si="4"/>
        <v>26</v>
      </c>
      <c r="BD28">
        <f t="shared" si="4"/>
        <v>26</v>
      </c>
      <c r="BE28">
        <f t="shared" si="4"/>
        <v>26</v>
      </c>
      <c r="BF28">
        <f t="shared" si="4"/>
        <v>26</v>
      </c>
      <c r="BG28">
        <f t="shared" si="4"/>
        <v>26</v>
      </c>
    </row>
    <row r="29" spans="1:59" x14ac:dyDescent="0.25">
      <c r="A29" s="5"/>
      <c r="B29" s="82" t="s">
        <v>78</v>
      </c>
      <c r="C29" s="83"/>
      <c r="D29" s="82" t="s">
        <v>78</v>
      </c>
      <c r="E29" s="83"/>
      <c r="F29" s="84"/>
      <c r="G29" s="82" t="s">
        <v>78</v>
      </c>
      <c r="H29" s="83"/>
      <c r="J29" s="79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1"/>
      <c r="AI29" s="72"/>
      <c r="AJ29" s="73"/>
      <c r="AK29" s="73"/>
      <c r="AL29" s="73"/>
      <c r="AM29" s="73"/>
      <c r="AN29" s="74"/>
      <c r="AP29" s="31"/>
      <c r="AR29">
        <v>27</v>
      </c>
      <c r="AS29">
        <f t="shared" si="4"/>
        <v>27</v>
      </c>
      <c r="AT29">
        <f t="shared" si="4"/>
        <v>27</v>
      </c>
      <c r="AU29">
        <f t="shared" si="4"/>
        <v>27</v>
      </c>
      <c r="AV29">
        <f t="shared" si="4"/>
        <v>27</v>
      </c>
      <c r="AW29">
        <f t="shared" si="4"/>
        <v>27</v>
      </c>
      <c r="AX29">
        <f t="shared" si="4"/>
        <v>27</v>
      </c>
      <c r="AY29">
        <f t="shared" si="4"/>
        <v>27</v>
      </c>
      <c r="AZ29">
        <f t="shared" si="4"/>
        <v>27</v>
      </c>
      <c r="BA29">
        <f t="shared" si="4"/>
        <v>27</v>
      </c>
      <c r="BB29">
        <f t="shared" si="4"/>
        <v>27</v>
      </c>
      <c r="BC29">
        <f t="shared" si="4"/>
        <v>27</v>
      </c>
      <c r="BD29">
        <f t="shared" si="4"/>
        <v>27</v>
      </c>
      <c r="BE29">
        <f t="shared" si="4"/>
        <v>27</v>
      </c>
      <c r="BF29">
        <f t="shared" si="4"/>
        <v>27</v>
      </c>
      <c r="BG29">
        <f t="shared" si="4"/>
        <v>27</v>
      </c>
    </row>
    <row r="30" ht="15.75" customHeight="1" spans="1:59" x14ac:dyDescent="0.25">
      <c r="A30" s="5"/>
      <c r="B30" s="87">
        <v>6</v>
      </c>
      <c r="C30" s="88"/>
      <c r="D30" s="87">
        <v>15</v>
      </c>
      <c r="E30" s="88"/>
      <c r="F30" s="84"/>
      <c r="G30" s="87">
        <v>22</v>
      </c>
      <c r="H30" s="88"/>
      <c r="J30" s="89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1"/>
      <c r="AI30" s="92"/>
      <c r="AJ30" s="93"/>
      <c r="AK30" s="93"/>
      <c r="AL30" s="93"/>
      <c r="AM30" s="93"/>
      <c r="AN30" s="94"/>
      <c r="AP30" s="31"/>
      <c r="AR30">
        <v>28</v>
      </c>
      <c r="AS30">
        <f t="shared" si="4"/>
        <v>28</v>
      </c>
      <c r="AT30">
        <f t="shared" si="4"/>
        <v>28</v>
      </c>
      <c r="AU30">
        <f t="shared" si="4"/>
        <v>28</v>
      </c>
      <c r="AV30">
        <f t="shared" si="4"/>
        <v>28</v>
      </c>
      <c r="AW30">
        <f t="shared" si="4"/>
        <v>28</v>
      </c>
      <c r="AX30">
        <f t="shared" si="4"/>
        <v>28</v>
      </c>
      <c r="AY30">
        <f t="shared" si="4"/>
        <v>28</v>
      </c>
      <c r="AZ30">
        <f t="shared" si="4"/>
        <v>28</v>
      </c>
      <c r="BA30">
        <f t="shared" si="4"/>
        <v>28</v>
      </c>
      <c r="BB30">
        <f t="shared" si="4"/>
        <v>28</v>
      </c>
      <c r="BC30">
        <f t="shared" si="4"/>
        <v>28</v>
      </c>
      <c r="BD30">
        <f t="shared" si="4"/>
        <v>28</v>
      </c>
      <c r="BE30">
        <f t="shared" si="4"/>
        <v>28</v>
      </c>
      <c r="BF30">
        <f t="shared" si="4"/>
        <v>28</v>
      </c>
      <c r="BG30">
        <f t="shared" si="4"/>
        <v>28</v>
      </c>
    </row>
    <row r="31" ht="15.75" customHeight="1" spans="1:59" x14ac:dyDescent="0.25">
      <c r="A31" s="33"/>
      <c r="B31" s="66"/>
      <c r="C31" s="95"/>
      <c r="D31" s="66"/>
      <c r="E31" s="95"/>
      <c r="F31" s="66"/>
      <c r="G31" s="66"/>
      <c r="H31" s="95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96"/>
      <c r="AR31">
        <v>29</v>
      </c>
      <c r="AS31">
        <f t="shared" si="4"/>
        <v>29</v>
      </c>
      <c r="AT31">
        <f t="shared" si="4"/>
        <v>29</v>
      </c>
      <c r="AU31">
        <f t="shared" si="4"/>
        <v>29</v>
      </c>
      <c r="AV31">
        <f t="shared" si="4"/>
        <v>29</v>
      </c>
      <c r="AW31">
        <f t="shared" si="4"/>
        <v>29</v>
      </c>
      <c r="AX31">
        <f t="shared" si="4"/>
        <v>29</v>
      </c>
      <c r="AY31">
        <f t="shared" si="4"/>
        <v>29</v>
      </c>
      <c r="AZ31">
        <f t="shared" si="4"/>
        <v>29</v>
      </c>
      <c r="BA31">
        <f t="shared" si="4"/>
        <v>29</v>
      </c>
      <c r="BB31">
        <f t="shared" si="4"/>
        <v>29</v>
      </c>
      <c r="BC31">
        <f t="shared" si="4"/>
        <v>29</v>
      </c>
      <c r="BD31">
        <f t="shared" si="4"/>
        <v>29</v>
      </c>
      <c r="BE31">
        <f t="shared" si="4"/>
        <v>29</v>
      </c>
      <c r="BF31">
        <f t="shared" si="4"/>
        <v>29</v>
      </c>
      <c r="BG31">
        <f t="shared" si="4"/>
        <v>29</v>
      </c>
    </row>
    <row r="32" spans="44:59" x14ac:dyDescent="0.25">
      <c r="AR32">
        <v>30</v>
      </c>
      <c r="AS32">
        <f t="shared" si="4"/>
        <v>30</v>
      </c>
      <c r="AT32">
        <f t="shared" si="4"/>
        <v>30</v>
      </c>
      <c r="AU32">
        <f t="shared" si="4"/>
        <v>30</v>
      </c>
      <c r="AV32">
        <f t="shared" si="4"/>
        <v>30</v>
      </c>
      <c r="AW32">
        <f t="shared" si="4"/>
        <v>30</v>
      </c>
      <c r="AX32">
        <f t="shared" si="4"/>
        <v>30</v>
      </c>
      <c r="AY32">
        <f t="shared" si="4"/>
        <v>30</v>
      </c>
      <c r="AZ32">
        <f t="shared" si="4"/>
        <v>30</v>
      </c>
      <c r="BA32">
        <f t="shared" si="4"/>
        <v>30</v>
      </c>
      <c r="BB32">
        <f t="shared" si="4"/>
        <v>30</v>
      </c>
      <c r="BC32">
        <f t="shared" si="4"/>
        <v>30</v>
      </c>
      <c r="BD32">
        <f t="shared" si="4"/>
        <v>30</v>
      </c>
      <c r="BE32">
        <f t="shared" si="4"/>
        <v>30</v>
      </c>
      <c r="BF32">
        <f t="shared" si="4"/>
        <v>30</v>
      </c>
      <c r="BG32">
        <f t="shared" si="4"/>
        <v>30</v>
      </c>
    </row>
    <row r="33" spans="44:59" x14ac:dyDescent="0.25">
      <c r="AR33">
        <v>31</v>
      </c>
      <c r="AS33">
        <f t="shared" si="4"/>
        <v>31</v>
      </c>
      <c r="AT33">
        <f t="shared" si="4"/>
        <v>31</v>
      </c>
      <c r="AU33">
        <f t="shared" si="4"/>
        <v>31</v>
      </c>
      <c r="AV33">
        <f t="shared" si="4"/>
        <v>31</v>
      </c>
      <c r="AW33">
        <f t="shared" si="4"/>
        <v>31</v>
      </c>
      <c r="AX33">
        <f t="shared" si="4"/>
        <v>31</v>
      </c>
      <c r="AY33">
        <f t="shared" si="4"/>
        <v>31</v>
      </c>
      <c r="AZ33">
        <f t="shared" si="4"/>
        <v>31</v>
      </c>
      <c r="BA33">
        <f t="shared" si="4"/>
        <v>31</v>
      </c>
      <c r="BB33">
        <f t="shared" si="4"/>
        <v>31</v>
      </c>
      <c r="BC33">
        <f t="shared" si="4"/>
        <v>31</v>
      </c>
      <c r="BD33">
        <f t="shared" si="4"/>
        <v>31</v>
      </c>
      <c r="BE33">
        <f t="shared" si="4"/>
        <v>31</v>
      </c>
      <c r="BF33">
        <f t="shared" si="4"/>
        <v>31</v>
      </c>
      <c r="BG33">
        <f t="shared" si="4"/>
        <v>31</v>
      </c>
    </row>
    <row r="34" spans="44:59" x14ac:dyDescent="0.25">
      <c r="AR34">
        <v>32</v>
      </c>
      <c r="AS34">
        <f t="shared" si="4"/>
        <v>32</v>
      </c>
      <c r="AT34">
        <f t="shared" si="4"/>
        <v>32</v>
      </c>
      <c r="AU34">
        <f t="shared" si="4"/>
        <v>32</v>
      </c>
      <c r="AV34">
        <f t="shared" si="4"/>
        <v>32</v>
      </c>
      <c r="AW34">
        <f t="shared" si="4"/>
        <v>32</v>
      </c>
      <c r="AX34">
        <f t="shared" si="4"/>
        <v>32</v>
      </c>
      <c r="AY34">
        <f t="shared" si="4"/>
        <v>32</v>
      </c>
      <c r="AZ34">
        <f t="shared" si="4"/>
        <v>32</v>
      </c>
      <c r="BA34">
        <f t="shared" si="4"/>
        <v>32</v>
      </c>
      <c r="BB34">
        <f t="shared" si="4"/>
        <v>32</v>
      </c>
      <c r="BC34">
        <f t="shared" si="4"/>
        <v>32</v>
      </c>
      <c r="BD34">
        <f t="shared" si="4"/>
        <v>32</v>
      </c>
      <c r="BE34">
        <f t="shared" si="4"/>
        <v>32</v>
      </c>
      <c r="BF34">
        <f t="shared" si="4"/>
        <v>32</v>
      </c>
      <c r="BG34">
        <f t="shared" si="4"/>
        <v>32</v>
      </c>
    </row>
    <row r="35" spans="44:59" x14ac:dyDescent="0.25">
      <c r="AR35">
        <v>33</v>
      </c>
      <c r="AS35">
        <f t="shared" ref="AS35:BG50" si="6">IF($C$3&gt;=AS$1,AR35,"")</f>
        <v>33</v>
      </c>
      <c r="AT35">
        <f t="shared" si="6"/>
        <v>33</v>
      </c>
      <c r="AU35">
        <f t="shared" si="6"/>
        <v>33</v>
      </c>
      <c r="AV35">
        <f t="shared" si="6"/>
        <v>33</v>
      </c>
      <c r="AW35">
        <f t="shared" si="6"/>
        <v>33</v>
      </c>
      <c r="AX35">
        <f t="shared" si="6"/>
        <v>33</v>
      </c>
      <c r="AY35">
        <f t="shared" si="6"/>
        <v>33</v>
      </c>
      <c r="AZ35">
        <f t="shared" si="6"/>
        <v>33</v>
      </c>
      <c r="BA35">
        <f t="shared" si="6"/>
        <v>33</v>
      </c>
      <c r="BB35">
        <f t="shared" si="6"/>
        <v>33</v>
      </c>
      <c r="BC35">
        <f t="shared" si="6"/>
        <v>33</v>
      </c>
      <c r="BD35">
        <f t="shared" si="6"/>
        <v>33</v>
      </c>
      <c r="BE35">
        <f t="shared" si="6"/>
        <v>33</v>
      </c>
      <c r="BF35">
        <f t="shared" si="6"/>
        <v>33</v>
      </c>
      <c r="BG35">
        <f t="shared" si="6"/>
        <v>33</v>
      </c>
    </row>
    <row r="36" spans="44:59" x14ac:dyDescent="0.25">
      <c r="AR36">
        <v>34</v>
      </c>
      <c r="AS36">
        <f t="shared" si="6"/>
        <v>34</v>
      </c>
      <c r="AT36">
        <f t="shared" si="6"/>
        <v>34</v>
      </c>
      <c r="AU36">
        <f t="shared" si="6"/>
        <v>34</v>
      </c>
      <c r="AV36">
        <f t="shared" si="6"/>
        <v>34</v>
      </c>
      <c r="AW36">
        <f t="shared" si="6"/>
        <v>34</v>
      </c>
      <c r="AX36">
        <f t="shared" si="6"/>
        <v>34</v>
      </c>
      <c r="AY36">
        <f t="shared" si="6"/>
        <v>34</v>
      </c>
      <c r="AZ36">
        <f t="shared" si="6"/>
        <v>34</v>
      </c>
      <c r="BA36">
        <f t="shared" si="6"/>
        <v>34</v>
      </c>
      <c r="BB36">
        <f t="shared" si="6"/>
        <v>34</v>
      </c>
      <c r="BC36">
        <f t="shared" si="6"/>
        <v>34</v>
      </c>
      <c r="BD36">
        <f t="shared" si="6"/>
        <v>34</v>
      </c>
      <c r="BE36">
        <f t="shared" si="6"/>
        <v>34</v>
      </c>
      <c r="BF36">
        <f t="shared" si="6"/>
        <v>34</v>
      </c>
      <c r="BG36">
        <f t="shared" si="6"/>
        <v>34</v>
      </c>
    </row>
    <row r="37" spans="44:59" x14ac:dyDescent="0.25">
      <c r="AR37">
        <v>35</v>
      </c>
      <c r="AS37">
        <f t="shared" si="6"/>
        <v>35</v>
      </c>
      <c r="AT37">
        <f t="shared" si="6"/>
        <v>35</v>
      </c>
      <c r="AU37">
        <f t="shared" si="6"/>
        <v>35</v>
      </c>
      <c r="AV37">
        <f t="shared" si="6"/>
        <v>35</v>
      </c>
      <c r="AW37">
        <f t="shared" si="6"/>
        <v>35</v>
      </c>
      <c r="AX37">
        <f t="shared" si="6"/>
        <v>35</v>
      </c>
      <c r="AY37">
        <f t="shared" si="6"/>
        <v>35</v>
      </c>
      <c r="AZ37">
        <f t="shared" si="6"/>
        <v>35</v>
      </c>
      <c r="BA37">
        <f t="shared" si="6"/>
        <v>35</v>
      </c>
      <c r="BB37">
        <f t="shared" si="6"/>
        <v>35</v>
      </c>
      <c r="BC37">
        <f t="shared" si="6"/>
        <v>35</v>
      </c>
      <c r="BD37">
        <f t="shared" si="6"/>
        <v>35</v>
      </c>
      <c r="BE37">
        <f t="shared" si="6"/>
        <v>35</v>
      </c>
      <c r="BF37">
        <f t="shared" si="6"/>
        <v>35</v>
      </c>
      <c r="BG37">
        <f t="shared" si="6"/>
        <v>35</v>
      </c>
    </row>
    <row r="38" spans="44:59" x14ac:dyDescent="0.25">
      <c r="AR38">
        <v>36</v>
      </c>
      <c r="AS38">
        <f t="shared" si="6"/>
        <v>36</v>
      </c>
      <c r="AT38">
        <f t="shared" si="6"/>
        <v>36</v>
      </c>
      <c r="AU38">
        <f t="shared" si="6"/>
        <v>36</v>
      </c>
      <c r="AV38">
        <f t="shared" si="6"/>
        <v>36</v>
      </c>
      <c r="AW38">
        <f t="shared" si="6"/>
        <v>36</v>
      </c>
      <c r="AX38">
        <f t="shared" si="6"/>
        <v>36</v>
      </c>
      <c r="AY38">
        <f t="shared" si="6"/>
        <v>36</v>
      </c>
      <c r="AZ38">
        <f t="shared" si="6"/>
        <v>36</v>
      </c>
      <c r="BA38">
        <f t="shared" si="6"/>
        <v>36</v>
      </c>
      <c r="BB38">
        <f t="shared" si="6"/>
        <v>36</v>
      </c>
      <c r="BC38">
        <f t="shared" si="6"/>
        <v>36</v>
      </c>
      <c r="BD38">
        <f t="shared" si="6"/>
        <v>36</v>
      </c>
      <c r="BE38">
        <f t="shared" si="6"/>
        <v>36</v>
      </c>
      <c r="BF38">
        <f t="shared" si="6"/>
        <v>36</v>
      </c>
      <c r="BG38">
        <f t="shared" si="6"/>
        <v>36</v>
      </c>
    </row>
    <row r="39" spans="44:59" x14ac:dyDescent="0.25">
      <c r="AR39">
        <v>37</v>
      </c>
      <c r="AS39">
        <f t="shared" si="6"/>
        <v>37</v>
      </c>
      <c r="AT39">
        <f t="shared" si="6"/>
        <v>37</v>
      </c>
      <c r="AU39">
        <f t="shared" si="6"/>
        <v>37</v>
      </c>
      <c r="AV39">
        <f t="shared" si="6"/>
        <v>37</v>
      </c>
      <c r="AW39">
        <f t="shared" si="6"/>
        <v>37</v>
      </c>
      <c r="AX39">
        <f t="shared" si="6"/>
        <v>37</v>
      </c>
      <c r="AY39">
        <f t="shared" si="6"/>
        <v>37</v>
      </c>
      <c r="AZ39">
        <f t="shared" si="6"/>
        <v>37</v>
      </c>
      <c r="BA39">
        <f t="shared" si="6"/>
        <v>37</v>
      </c>
      <c r="BB39">
        <f t="shared" si="6"/>
        <v>37</v>
      </c>
      <c r="BC39">
        <f t="shared" si="6"/>
        <v>37</v>
      </c>
      <c r="BD39">
        <f t="shared" si="6"/>
        <v>37</v>
      </c>
      <c r="BE39">
        <f t="shared" si="6"/>
        <v>37</v>
      </c>
      <c r="BF39">
        <f t="shared" si="6"/>
        <v>37</v>
      </c>
      <c r="BG39">
        <f t="shared" si="6"/>
        <v>37</v>
      </c>
    </row>
    <row r="40" spans="44:59" x14ac:dyDescent="0.25">
      <c r="AR40">
        <v>38</v>
      </c>
      <c r="AS40">
        <f t="shared" si="6"/>
        <v>38</v>
      </c>
      <c r="AT40">
        <f t="shared" si="6"/>
        <v>38</v>
      </c>
      <c r="AU40">
        <f t="shared" si="6"/>
        <v>38</v>
      </c>
      <c r="AV40">
        <f t="shared" si="6"/>
        <v>38</v>
      </c>
      <c r="AW40">
        <f t="shared" si="6"/>
        <v>38</v>
      </c>
      <c r="AX40">
        <f t="shared" si="6"/>
        <v>38</v>
      </c>
      <c r="AY40">
        <f t="shared" si="6"/>
        <v>38</v>
      </c>
      <c r="AZ40">
        <f t="shared" si="6"/>
        <v>38</v>
      </c>
      <c r="BA40">
        <f t="shared" si="6"/>
        <v>38</v>
      </c>
      <c r="BB40">
        <f t="shared" si="6"/>
        <v>38</v>
      </c>
      <c r="BC40">
        <f t="shared" si="6"/>
        <v>38</v>
      </c>
      <c r="BD40">
        <f t="shared" si="6"/>
        <v>38</v>
      </c>
      <c r="BE40">
        <f t="shared" si="6"/>
        <v>38</v>
      </c>
      <c r="BF40">
        <f t="shared" si="6"/>
        <v>38</v>
      </c>
      <c r="BG40">
        <f t="shared" si="6"/>
        <v>38</v>
      </c>
    </row>
    <row r="41" spans="44:59" x14ac:dyDescent="0.25">
      <c r="AR41">
        <v>39</v>
      </c>
      <c r="AS41">
        <f t="shared" si="6"/>
        <v>39</v>
      </c>
      <c r="AT41">
        <f t="shared" si="6"/>
        <v>39</v>
      </c>
      <c r="AU41">
        <f t="shared" si="6"/>
        <v>39</v>
      </c>
      <c r="AV41">
        <f t="shared" si="6"/>
        <v>39</v>
      </c>
      <c r="AW41">
        <f t="shared" si="6"/>
        <v>39</v>
      </c>
      <c r="AX41">
        <f t="shared" si="6"/>
        <v>39</v>
      </c>
      <c r="AY41">
        <f t="shared" si="6"/>
        <v>39</v>
      </c>
      <c r="AZ41">
        <f t="shared" si="6"/>
        <v>39</v>
      </c>
      <c r="BA41">
        <f t="shared" si="6"/>
        <v>39</v>
      </c>
      <c r="BB41">
        <f t="shared" si="6"/>
        <v>39</v>
      </c>
      <c r="BC41">
        <f t="shared" si="6"/>
        <v>39</v>
      </c>
      <c r="BD41">
        <f t="shared" si="6"/>
        <v>39</v>
      </c>
      <c r="BE41">
        <f t="shared" si="6"/>
        <v>39</v>
      </c>
      <c r="BF41">
        <f t="shared" si="6"/>
        <v>39</v>
      </c>
      <c r="BG41">
        <f t="shared" si="6"/>
        <v>39</v>
      </c>
    </row>
    <row r="42" spans="44:59" x14ac:dyDescent="0.25">
      <c r="AR42">
        <v>40</v>
      </c>
      <c r="AS42">
        <f t="shared" si="6"/>
        <v>40</v>
      </c>
      <c r="AT42">
        <f t="shared" si="6"/>
        <v>40</v>
      </c>
      <c r="AU42">
        <f t="shared" si="6"/>
        <v>40</v>
      </c>
      <c r="AV42">
        <f t="shared" si="6"/>
        <v>40</v>
      </c>
      <c r="AW42">
        <f t="shared" si="6"/>
        <v>40</v>
      </c>
      <c r="AX42">
        <f t="shared" si="6"/>
        <v>40</v>
      </c>
      <c r="AY42">
        <f t="shared" si="6"/>
        <v>40</v>
      </c>
      <c r="AZ42">
        <f t="shared" si="6"/>
        <v>40</v>
      </c>
      <c r="BA42">
        <f t="shared" si="6"/>
        <v>40</v>
      </c>
      <c r="BB42">
        <f t="shared" si="6"/>
        <v>40</v>
      </c>
      <c r="BC42">
        <f t="shared" si="6"/>
        <v>40</v>
      </c>
      <c r="BD42">
        <f t="shared" si="6"/>
        <v>40</v>
      </c>
      <c r="BE42">
        <f t="shared" si="6"/>
        <v>40</v>
      </c>
      <c r="BF42">
        <f t="shared" si="6"/>
        <v>40</v>
      </c>
      <c r="BG42">
        <f t="shared" si="6"/>
        <v>40</v>
      </c>
    </row>
    <row r="43" spans="44:59" x14ac:dyDescent="0.25">
      <c r="AR43">
        <v>41</v>
      </c>
      <c r="AS43">
        <f t="shared" si="6"/>
        <v>41</v>
      </c>
      <c r="AT43">
        <f t="shared" si="6"/>
        <v>41</v>
      </c>
      <c r="AU43">
        <f t="shared" si="6"/>
        <v>41</v>
      </c>
      <c r="AV43">
        <f t="shared" si="6"/>
        <v>41</v>
      </c>
      <c r="AW43">
        <f t="shared" si="6"/>
        <v>41</v>
      </c>
      <c r="AX43">
        <f t="shared" si="6"/>
        <v>41</v>
      </c>
      <c r="AY43">
        <f t="shared" si="6"/>
        <v>41</v>
      </c>
      <c r="AZ43">
        <f t="shared" si="6"/>
        <v>41</v>
      </c>
      <c r="BA43">
        <f t="shared" si="6"/>
        <v>41</v>
      </c>
      <c r="BB43">
        <f t="shared" si="6"/>
        <v>41</v>
      </c>
      <c r="BC43">
        <f t="shared" si="6"/>
        <v>41</v>
      </c>
      <c r="BD43">
        <f t="shared" si="6"/>
        <v>41</v>
      </c>
      <c r="BE43">
        <f t="shared" si="6"/>
        <v>41</v>
      </c>
      <c r="BF43">
        <f t="shared" si="6"/>
        <v>41</v>
      </c>
      <c r="BG43">
        <f t="shared" si="6"/>
        <v>41</v>
      </c>
    </row>
    <row r="44" spans="44:59" x14ac:dyDescent="0.25">
      <c r="AR44">
        <v>42</v>
      </c>
      <c r="AS44">
        <f t="shared" si="6"/>
        <v>42</v>
      </c>
      <c r="AT44">
        <f t="shared" si="6"/>
        <v>42</v>
      </c>
      <c r="AU44">
        <f t="shared" si="6"/>
        <v>42</v>
      </c>
      <c r="AV44">
        <f t="shared" si="6"/>
        <v>42</v>
      </c>
      <c r="AW44">
        <f t="shared" si="6"/>
        <v>42</v>
      </c>
      <c r="AX44">
        <f t="shared" si="6"/>
        <v>42</v>
      </c>
      <c r="AY44">
        <f t="shared" si="6"/>
        <v>42</v>
      </c>
      <c r="AZ44">
        <f t="shared" si="6"/>
        <v>42</v>
      </c>
      <c r="BA44">
        <f t="shared" si="6"/>
        <v>42</v>
      </c>
      <c r="BB44">
        <f t="shared" si="6"/>
        <v>42</v>
      </c>
      <c r="BC44">
        <f t="shared" si="6"/>
        <v>42</v>
      </c>
      <c r="BD44">
        <f t="shared" si="6"/>
        <v>42</v>
      </c>
      <c r="BE44">
        <f t="shared" si="6"/>
        <v>42</v>
      </c>
      <c r="BF44">
        <f t="shared" si="6"/>
        <v>42</v>
      </c>
      <c r="BG44">
        <f t="shared" si="6"/>
        <v>42</v>
      </c>
    </row>
    <row r="45" spans="44:59" x14ac:dyDescent="0.25">
      <c r="AR45">
        <v>43</v>
      </c>
      <c r="AS45">
        <f t="shared" si="6"/>
        <v>43</v>
      </c>
      <c r="AT45">
        <f t="shared" si="6"/>
        <v>43</v>
      </c>
      <c r="AU45">
        <f t="shared" si="6"/>
        <v>43</v>
      </c>
      <c r="AV45">
        <f t="shared" si="6"/>
        <v>43</v>
      </c>
      <c r="AW45">
        <f t="shared" si="6"/>
        <v>43</v>
      </c>
      <c r="AX45">
        <f t="shared" si="6"/>
        <v>43</v>
      </c>
      <c r="AY45">
        <f t="shared" si="6"/>
        <v>43</v>
      </c>
      <c r="AZ45">
        <f t="shared" si="6"/>
        <v>43</v>
      </c>
      <c r="BA45">
        <f t="shared" si="6"/>
        <v>43</v>
      </c>
      <c r="BB45">
        <f t="shared" si="6"/>
        <v>43</v>
      </c>
      <c r="BC45">
        <f t="shared" si="6"/>
        <v>43</v>
      </c>
      <c r="BD45">
        <f t="shared" si="6"/>
        <v>43</v>
      </c>
      <c r="BE45">
        <f t="shared" si="6"/>
        <v>43</v>
      </c>
      <c r="BF45">
        <f t="shared" si="6"/>
        <v>43</v>
      </c>
      <c r="BG45">
        <f t="shared" si="6"/>
        <v>43</v>
      </c>
    </row>
    <row r="46" spans="44:59" x14ac:dyDescent="0.25">
      <c r="AR46">
        <v>44</v>
      </c>
      <c r="AS46">
        <f t="shared" si="6"/>
        <v>44</v>
      </c>
      <c r="AT46">
        <f t="shared" si="6"/>
        <v>44</v>
      </c>
      <c r="AU46">
        <f t="shared" si="6"/>
        <v>44</v>
      </c>
      <c r="AV46">
        <f t="shared" si="6"/>
        <v>44</v>
      </c>
      <c r="AW46">
        <f t="shared" si="6"/>
        <v>44</v>
      </c>
      <c r="AX46">
        <f t="shared" si="6"/>
        <v>44</v>
      </c>
      <c r="AY46">
        <f t="shared" si="6"/>
        <v>44</v>
      </c>
      <c r="AZ46">
        <f t="shared" si="6"/>
        <v>44</v>
      </c>
      <c r="BA46">
        <f t="shared" si="6"/>
        <v>44</v>
      </c>
      <c r="BB46">
        <f t="shared" si="6"/>
        <v>44</v>
      </c>
      <c r="BC46">
        <f t="shared" si="6"/>
        <v>44</v>
      </c>
      <c r="BD46">
        <f t="shared" si="6"/>
        <v>44</v>
      </c>
      <c r="BE46">
        <f t="shared" si="6"/>
        <v>44</v>
      </c>
      <c r="BF46">
        <f t="shared" si="6"/>
        <v>44</v>
      </c>
      <c r="BG46">
        <f t="shared" si="6"/>
        <v>44</v>
      </c>
    </row>
    <row r="47" spans="44:59" x14ac:dyDescent="0.25">
      <c r="AR47">
        <v>45</v>
      </c>
      <c r="AS47">
        <f t="shared" si="6"/>
        <v>45</v>
      </c>
      <c r="AT47">
        <f t="shared" si="6"/>
        <v>45</v>
      </c>
      <c r="AU47">
        <f t="shared" si="6"/>
        <v>45</v>
      </c>
      <c r="AV47">
        <f t="shared" si="6"/>
        <v>45</v>
      </c>
      <c r="AW47">
        <f t="shared" si="6"/>
        <v>45</v>
      </c>
      <c r="AX47">
        <f t="shared" si="6"/>
        <v>45</v>
      </c>
      <c r="AY47">
        <f t="shared" si="6"/>
        <v>45</v>
      </c>
      <c r="AZ47">
        <f t="shared" si="6"/>
        <v>45</v>
      </c>
      <c r="BA47">
        <f t="shared" si="6"/>
        <v>45</v>
      </c>
      <c r="BB47">
        <f t="shared" si="6"/>
        <v>45</v>
      </c>
      <c r="BC47">
        <f t="shared" si="6"/>
        <v>45</v>
      </c>
      <c r="BD47">
        <f t="shared" si="6"/>
        <v>45</v>
      </c>
      <c r="BE47">
        <f t="shared" si="6"/>
        <v>45</v>
      </c>
      <c r="BF47">
        <f t="shared" si="6"/>
        <v>45</v>
      </c>
      <c r="BG47">
        <f t="shared" si="6"/>
        <v>45</v>
      </c>
    </row>
    <row r="48" spans="44:59" x14ac:dyDescent="0.25">
      <c r="AR48">
        <v>46</v>
      </c>
      <c r="AS48">
        <f t="shared" si="6"/>
        <v>46</v>
      </c>
      <c r="AT48">
        <f t="shared" si="6"/>
        <v>46</v>
      </c>
      <c r="AU48">
        <f t="shared" si="6"/>
        <v>46</v>
      </c>
      <c r="AV48">
        <f t="shared" si="6"/>
        <v>46</v>
      </c>
      <c r="AW48">
        <f t="shared" si="6"/>
        <v>46</v>
      </c>
      <c r="AX48">
        <f t="shared" si="6"/>
        <v>46</v>
      </c>
      <c r="AY48">
        <f t="shared" si="6"/>
        <v>46</v>
      </c>
      <c r="AZ48">
        <f t="shared" si="6"/>
        <v>46</v>
      </c>
      <c r="BA48">
        <f t="shared" si="6"/>
        <v>46</v>
      </c>
      <c r="BB48">
        <f t="shared" si="6"/>
        <v>46</v>
      </c>
      <c r="BC48">
        <f t="shared" si="6"/>
        <v>46</v>
      </c>
      <c r="BD48">
        <f t="shared" si="6"/>
        <v>46</v>
      </c>
      <c r="BE48">
        <f t="shared" si="6"/>
        <v>46</v>
      </c>
      <c r="BF48">
        <f t="shared" si="6"/>
        <v>46</v>
      </c>
      <c r="BG48">
        <f t="shared" si="6"/>
        <v>46</v>
      </c>
    </row>
    <row r="49" spans="44:59" x14ac:dyDescent="0.25">
      <c r="AR49">
        <v>47</v>
      </c>
      <c r="AS49">
        <f t="shared" si="6"/>
        <v>47</v>
      </c>
      <c r="AT49">
        <f t="shared" si="6"/>
        <v>47</v>
      </c>
      <c r="AU49">
        <f t="shared" si="6"/>
        <v>47</v>
      </c>
      <c r="AV49">
        <f t="shared" si="6"/>
        <v>47</v>
      </c>
      <c r="AW49">
        <f t="shared" si="6"/>
        <v>47</v>
      </c>
      <c r="AX49">
        <f t="shared" si="6"/>
        <v>47</v>
      </c>
      <c r="AY49">
        <f t="shared" si="6"/>
        <v>47</v>
      </c>
      <c r="AZ49">
        <f t="shared" si="6"/>
        <v>47</v>
      </c>
      <c r="BA49">
        <f t="shared" si="6"/>
        <v>47</v>
      </c>
      <c r="BB49">
        <f t="shared" si="6"/>
        <v>47</v>
      </c>
      <c r="BC49">
        <f t="shared" si="6"/>
        <v>47</v>
      </c>
      <c r="BD49">
        <f t="shared" si="6"/>
        <v>47</v>
      </c>
      <c r="BE49">
        <f t="shared" si="6"/>
        <v>47</v>
      </c>
      <c r="BF49">
        <f t="shared" si="6"/>
        <v>47</v>
      </c>
      <c r="BG49">
        <f t="shared" si="6"/>
        <v>47</v>
      </c>
    </row>
    <row r="50" spans="44:59" x14ac:dyDescent="0.25">
      <c r="AR50">
        <v>48</v>
      </c>
      <c r="AS50">
        <f t="shared" si="6"/>
        <v>48</v>
      </c>
      <c r="AT50">
        <f t="shared" si="6"/>
        <v>48</v>
      </c>
      <c r="AU50">
        <f t="shared" si="6"/>
        <v>48</v>
      </c>
      <c r="AV50">
        <f t="shared" si="6"/>
        <v>48</v>
      </c>
      <c r="AW50">
        <f t="shared" si="6"/>
        <v>48</v>
      </c>
      <c r="AX50">
        <f t="shared" si="6"/>
        <v>48</v>
      </c>
      <c r="AY50">
        <f t="shared" si="6"/>
        <v>48</v>
      </c>
      <c r="AZ50">
        <f t="shared" si="6"/>
        <v>48</v>
      </c>
      <c r="BA50">
        <f t="shared" si="6"/>
        <v>48</v>
      </c>
      <c r="BB50">
        <f t="shared" si="6"/>
        <v>48</v>
      </c>
      <c r="BC50">
        <f t="shared" si="6"/>
        <v>48</v>
      </c>
      <c r="BD50">
        <f t="shared" si="6"/>
        <v>48</v>
      </c>
      <c r="BE50">
        <f t="shared" si="6"/>
        <v>48</v>
      </c>
      <c r="BF50">
        <f t="shared" si="6"/>
        <v>48</v>
      </c>
      <c r="BG50">
        <f t="shared" si="6"/>
        <v>48</v>
      </c>
    </row>
    <row r="51" spans="44:59" x14ac:dyDescent="0.25">
      <c r="AR51">
        <v>49</v>
      </c>
      <c r="AS51">
        <f t="shared" ref="AS51:BG62" si="7">IF($C$3&gt;=AS$1,AR51,"")</f>
        <v>49</v>
      </c>
      <c r="AT51">
        <f t="shared" si="7"/>
        <v>49</v>
      </c>
      <c r="AU51">
        <f t="shared" si="7"/>
        <v>49</v>
      </c>
      <c r="AV51">
        <f t="shared" si="7"/>
        <v>49</v>
      </c>
      <c r="AW51">
        <f t="shared" si="7"/>
        <v>49</v>
      </c>
      <c r="AX51">
        <f t="shared" si="7"/>
        <v>49</v>
      </c>
      <c r="AY51">
        <f t="shared" si="7"/>
        <v>49</v>
      </c>
      <c r="AZ51">
        <f t="shared" si="7"/>
        <v>49</v>
      </c>
      <c r="BA51">
        <f t="shared" si="7"/>
        <v>49</v>
      </c>
      <c r="BB51">
        <f t="shared" si="7"/>
        <v>49</v>
      </c>
      <c r="BC51">
        <f t="shared" si="7"/>
        <v>49</v>
      </c>
      <c r="BD51">
        <f t="shared" si="7"/>
        <v>49</v>
      </c>
      <c r="BE51">
        <f t="shared" si="7"/>
        <v>49</v>
      </c>
      <c r="BF51">
        <f t="shared" si="7"/>
        <v>49</v>
      </c>
      <c r="BG51">
        <f t="shared" si="7"/>
        <v>49</v>
      </c>
    </row>
    <row r="52" spans="44:59" x14ac:dyDescent="0.25">
      <c r="AR52">
        <v>50</v>
      </c>
      <c r="AS52">
        <f t="shared" si="7"/>
        <v>50</v>
      </c>
      <c r="AT52">
        <f t="shared" si="7"/>
        <v>50</v>
      </c>
      <c r="AU52">
        <f t="shared" si="7"/>
        <v>50</v>
      </c>
      <c r="AV52">
        <f t="shared" si="7"/>
        <v>50</v>
      </c>
      <c r="AW52">
        <f t="shared" si="7"/>
        <v>50</v>
      </c>
      <c r="AX52">
        <f t="shared" si="7"/>
        <v>50</v>
      </c>
      <c r="AY52">
        <f t="shared" si="7"/>
        <v>50</v>
      </c>
      <c r="AZ52">
        <f t="shared" si="7"/>
        <v>50</v>
      </c>
      <c r="BA52">
        <f t="shared" si="7"/>
        <v>50</v>
      </c>
      <c r="BB52">
        <f t="shared" si="7"/>
        <v>50</v>
      </c>
      <c r="BC52">
        <f t="shared" si="7"/>
        <v>50</v>
      </c>
      <c r="BD52">
        <f t="shared" si="7"/>
        <v>50</v>
      </c>
      <c r="BE52">
        <f t="shared" si="7"/>
        <v>50</v>
      </c>
      <c r="BF52">
        <f t="shared" si="7"/>
        <v>50</v>
      </c>
      <c r="BG52">
        <f t="shared" si="7"/>
        <v>50</v>
      </c>
    </row>
    <row r="53" spans="44:59" x14ac:dyDescent="0.25">
      <c r="AR53">
        <v>51</v>
      </c>
      <c r="AS53">
        <f t="shared" si="7"/>
        <v>51</v>
      </c>
      <c r="AT53">
        <f t="shared" si="7"/>
        <v>51</v>
      </c>
      <c r="AU53">
        <f t="shared" si="7"/>
        <v>51</v>
      </c>
      <c r="AV53">
        <f t="shared" si="7"/>
        <v>51</v>
      </c>
      <c r="AW53">
        <f t="shared" si="7"/>
        <v>51</v>
      </c>
      <c r="AX53">
        <f t="shared" si="7"/>
        <v>51</v>
      </c>
      <c r="AY53">
        <f t="shared" si="7"/>
        <v>51</v>
      </c>
      <c r="AZ53">
        <f t="shared" si="7"/>
        <v>51</v>
      </c>
      <c r="BA53">
        <f t="shared" si="7"/>
        <v>51</v>
      </c>
      <c r="BB53">
        <f t="shared" si="7"/>
        <v>51</v>
      </c>
      <c r="BC53">
        <f t="shared" si="7"/>
        <v>51</v>
      </c>
      <c r="BD53">
        <f t="shared" si="7"/>
        <v>51</v>
      </c>
      <c r="BE53">
        <f t="shared" si="7"/>
        <v>51</v>
      </c>
      <c r="BF53">
        <f t="shared" si="7"/>
        <v>51</v>
      </c>
      <c r="BG53">
        <f t="shared" si="7"/>
        <v>51</v>
      </c>
    </row>
    <row r="54" spans="44:59" x14ac:dyDescent="0.25">
      <c r="AR54">
        <v>52</v>
      </c>
      <c r="AS54">
        <f t="shared" si="7"/>
        <v>52</v>
      </c>
      <c r="AT54">
        <f t="shared" si="7"/>
        <v>52</v>
      </c>
      <c r="AU54">
        <f t="shared" si="7"/>
        <v>52</v>
      </c>
      <c r="AV54">
        <f t="shared" si="7"/>
        <v>52</v>
      </c>
      <c r="AW54">
        <f t="shared" si="7"/>
        <v>52</v>
      </c>
      <c r="AX54">
        <f t="shared" si="7"/>
        <v>52</v>
      </c>
      <c r="AY54">
        <f t="shared" si="7"/>
        <v>52</v>
      </c>
      <c r="AZ54">
        <f t="shared" si="7"/>
        <v>52</v>
      </c>
      <c r="BA54">
        <f t="shared" si="7"/>
        <v>52</v>
      </c>
      <c r="BB54">
        <f t="shared" si="7"/>
        <v>52</v>
      </c>
      <c r="BC54">
        <f t="shared" si="7"/>
        <v>52</v>
      </c>
      <c r="BD54">
        <f t="shared" si="7"/>
        <v>52</v>
      </c>
      <c r="BE54">
        <f t="shared" si="7"/>
        <v>52</v>
      </c>
      <c r="BF54">
        <f t="shared" si="7"/>
        <v>52</v>
      </c>
      <c r="BG54">
        <f t="shared" si="7"/>
        <v>52</v>
      </c>
    </row>
    <row r="55" spans="44:59" x14ac:dyDescent="0.25">
      <c r="AR55">
        <v>53</v>
      </c>
      <c r="AS55">
        <f t="shared" si="7"/>
        <v>53</v>
      </c>
      <c r="AT55">
        <f t="shared" si="7"/>
        <v>53</v>
      </c>
      <c r="AU55">
        <f t="shared" si="7"/>
        <v>53</v>
      </c>
      <c r="AV55">
        <f t="shared" si="7"/>
        <v>53</v>
      </c>
      <c r="AW55">
        <f t="shared" si="7"/>
        <v>53</v>
      </c>
      <c r="AX55">
        <f t="shared" si="7"/>
        <v>53</v>
      </c>
      <c r="AY55">
        <f t="shared" si="7"/>
        <v>53</v>
      </c>
      <c r="AZ55">
        <f t="shared" si="7"/>
        <v>53</v>
      </c>
      <c r="BA55">
        <f t="shared" si="7"/>
        <v>53</v>
      </c>
      <c r="BB55">
        <f t="shared" si="7"/>
        <v>53</v>
      </c>
      <c r="BC55">
        <f t="shared" si="7"/>
        <v>53</v>
      </c>
      <c r="BD55">
        <f t="shared" si="7"/>
        <v>53</v>
      </c>
      <c r="BE55">
        <f t="shared" si="7"/>
        <v>53</v>
      </c>
      <c r="BF55">
        <f t="shared" si="7"/>
        <v>53</v>
      </c>
      <c r="BG55">
        <f t="shared" si="7"/>
        <v>53</v>
      </c>
    </row>
    <row r="56" spans="44:59" x14ac:dyDescent="0.25">
      <c r="AR56">
        <v>54</v>
      </c>
      <c r="AS56">
        <f t="shared" si="7"/>
        <v>54</v>
      </c>
      <c r="AT56">
        <f t="shared" si="7"/>
        <v>54</v>
      </c>
      <c r="AU56">
        <f t="shared" si="7"/>
        <v>54</v>
      </c>
      <c r="AV56">
        <f t="shared" si="7"/>
        <v>54</v>
      </c>
      <c r="AW56">
        <f t="shared" si="7"/>
        <v>54</v>
      </c>
      <c r="AX56">
        <f t="shared" si="7"/>
        <v>54</v>
      </c>
      <c r="AY56">
        <f t="shared" si="7"/>
        <v>54</v>
      </c>
      <c r="AZ56">
        <f t="shared" si="7"/>
        <v>54</v>
      </c>
      <c r="BA56">
        <f t="shared" si="7"/>
        <v>54</v>
      </c>
      <c r="BB56">
        <f t="shared" si="7"/>
        <v>54</v>
      </c>
      <c r="BC56">
        <f t="shared" si="7"/>
        <v>54</v>
      </c>
      <c r="BD56">
        <f t="shared" si="7"/>
        <v>54</v>
      </c>
      <c r="BE56">
        <f t="shared" si="7"/>
        <v>54</v>
      </c>
      <c r="BF56">
        <f t="shared" si="7"/>
        <v>54</v>
      </c>
      <c r="BG56">
        <f t="shared" si="7"/>
        <v>54</v>
      </c>
    </row>
    <row r="57" spans="44:59" x14ac:dyDescent="0.25">
      <c r="AR57">
        <v>55</v>
      </c>
      <c r="AS57">
        <f t="shared" si="7"/>
        <v>55</v>
      </c>
      <c r="AT57">
        <f t="shared" si="7"/>
        <v>55</v>
      </c>
      <c r="AU57">
        <f t="shared" si="7"/>
        <v>55</v>
      </c>
      <c r="AV57">
        <f t="shared" si="7"/>
        <v>55</v>
      </c>
      <c r="AW57">
        <f t="shared" si="7"/>
        <v>55</v>
      </c>
      <c r="AX57">
        <f t="shared" si="7"/>
        <v>55</v>
      </c>
      <c r="AY57">
        <f t="shared" si="7"/>
        <v>55</v>
      </c>
      <c r="AZ57">
        <f t="shared" si="7"/>
        <v>55</v>
      </c>
      <c r="BA57">
        <f t="shared" si="7"/>
        <v>55</v>
      </c>
      <c r="BB57">
        <f t="shared" si="7"/>
        <v>55</v>
      </c>
      <c r="BC57">
        <f t="shared" si="7"/>
        <v>55</v>
      </c>
      <c r="BD57">
        <f t="shared" si="7"/>
        <v>55</v>
      </c>
      <c r="BE57">
        <f t="shared" si="7"/>
        <v>55</v>
      </c>
      <c r="BF57">
        <f t="shared" si="7"/>
        <v>55</v>
      </c>
      <c r="BG57">
        <f t="shared" si="7"/>
        <v>55</v>
      </c>
    </row>
    <row r="58" spans="44:59" x14ac:dyDescent="0.25">
      <c r="AR58">
        <v>56</v>
      </c>
      <c r="AS58">
        <f t="shared" si="7"/>
        <v>56</v>
      </c>
      <c r="AT58">
        <f t="shared" si="7"/>
        <v>56</v>
      </c>
      <c r="AU58">
        <f t="shared" si="7"/>
        <v>56</v>
      </c>
      <c r="AV58">
        <f t="shared" si="7"/>
        <v>56</v>
      </c>
      <c r="AW58">
        <f t="shared" si="7"/>
        <v>56</v>
      </c>
      <c r="AX58">
        <f t="shared" si="7"/>
        <v>56</v>
      </c>
      <c r="AY58">
        <f t="shared" si="7"/>
        <v>56</v>
      </c>
      <c r="AZ58">
        <f t="shared" si="7"/>
        <v>56</v>
      </c>
      <c r="BA58">
        <f t="shared" si="7"/>
        <v>56</v>
      </c>
      <c r="BB58">
        <f t="shared" si="7"/>
        <v>56</v>
      </c>
      <c r="BC58">
        <f t="shared" si="7"/>
        <v>56</v>
      </c>
      <c r="BD58">
        <f t="shared" si="7"/>
        <v>56</v>
      </c>
      <c r="BE58">
        <f t="shared" si="7"/>
        <v>56</v>
      </c>
      <c r="BF58">
        <f t="shared" si="7"/>
        <v>56</v>
      </c>
      <c r="BG58">
        <f t="shared" si="7"/>
        <v>56</v>
      </c>
    </row>
    <row r="59" spans="44:59" x14ac:dyDescent="0.25">
      <c r="AR59">
        <v>57</v>
      </c>
      <c r="AS59">
        <f t="shared" si="7"/>
        <v>57</v>
      </c>
      <c r="AT59">
        <f t="shared" si="7"/>
        <v>57</v>
      </c>
      <c r="AU59">
        <f t="shared" si="7"/>
        <v>57</v>
      </c>
      <c r="AV59">
        <f t="shared" si="7"/>
        <v>57</v>
      </c>
      <c r="AW59">
        <f t="shared" si="7"/>
        <v>57</v>
      </c>
      <c r="AX59">
        <f t="shared" si="7"/>
        <v>57</v>
      </c>
      <c r="AY59">
        <f t="shared" si="7"/>
        <v>57</v>
      </c>
      <c r="AZ59">
        <f t="shared" si="7"/>
        <v>57</v>
      </c>
      <c r="BA59">
        <f t="shared" si="7"/>
        <v>57</v>
      </c>
      <c r="BB59">
        <f t="shared" si="7"/>
        <v>57</v>
      </c>
      <c r="BC59">
        <f t="shared" si="7"/>
        <v>57</v>
      </c>
      <c r="BD59">
        <f t="shared" si="7"/>
        <v>57</v>
      </c>
      <c r="BE59">
        <f t="shared" si="7"/>
        <v>57</v>
      </c>
      <c r="BF59">
        <f t="shared" si="7"/>
        <v>57</v>
      </c>
      <c r="BG59">
        <f t="shared" si="7"/>
        <v>57</v>
      </c>
    </row>
    <row r="60" spans="44:59" x14ac:dyDescent="0.25">
      <c r="AR60">
        <v>58</v>
      </c>
      <c r="AS60">
        <f t="shared" si="7"/>
        <v>58</v>
      </c>
      <c r="AT60">
        <f t="shared" si="7"/>
        <v>58</v>
      </c>
      <c r="AU60">
        <f t="shared" si="7"/>
        <v>58</v>
      </c>
      <c r="AV60">
        <f t="shared" si="7"/>
        <v>58</v>
      </c>
      <c r="AW60">
        <f t="shared" si="7"/>
        <v>58</v>
      </c>
      <c r="AX60">
        <f t="shared" si="7"/>
        <v>58</v>
      </c>
      <c r="AY60">
        <f t="shared" si="7"/>
        <v>58</v>
      </c>
      <c r="AZ60">
        <f t="shared" si="7"/>
        <v>58</v>
      </c>
      <c r="BA60">
        <f t="shared" si="7"/>
        <v>58</v>
      </c>
      <c r="BB60">
        <f t="shared" si="7"/>
        <v>58</v>
      </c>
      <c r="BC60">
        <f t="shared" si="7"/>
        <v>58</v>
      </c>
      <c r="BD60">
        <f t="shared" si="7"/>
        <v>58</v>
      </c>
      <c r="BE60">
        <f t="shared" si="7"/>
        <v>58</v>
      </c>
      <c r="BF60">
        <f t="shared" si="7"/>
        <v>58</v>
      </c>
      <c r="BG60">
        <f t="shared" si="7"/>
        <v>58</v>
      </c>
    </row>
    <row r="61" spans="44:59" x14ac:dyDescent="0.25">
      <c r="AR61">
        <v>59</v>
      </c>
      <c r="AS61">
        <f t="shared" si="7"/>
        <v>59</v>
      </c>
      <c r="AT61">
        <f t="shared" si="7"/>
        <v>59</v>
      </c>
      <c r="AU61">
        <f t="shared" si="7"/>
        <v>59</v>
      </c>
      <c r="AV61">
        <f t="shared" si="7"/>
        <v>59</v>
      </c>
      <c r="AW61">
        <f t="shared" si="7"/>
        <v>59</v>
      </c>
      <c r="AX61">
        <f t="shared" si="7"/>
        <v>59</v>
      </c>
      <c r="AY61">
        <f t="shared" si="7"/>
        <v>59</v>
      </c>
      <c r="AZ61">
        <f t="shared" si="7"/>
        <v>59</v>
      </c>
      <c r="BA61">
        <f t="shared" si="7"/>
        <v>59</v>
      </c>
      <c r="BB61">
        <f t="shared" si="7"/>
        <v>59</v>
      </c>
      <c r="BC61">
        <f t="shared" si="7"/>
        <v>59</v>
      </c>
      <c r="BD61">
        <f t="shared" si="7"/>
        <v>59</v>
      </c>
      <c r="BE61">
        <f t="shared" si="7"/>
        <v>59</v>
      </c>
      <c r="BF61">
        <f t="shared" si="7"/>
        <v>59</v>
      </c>
      <c r="BG61">
        <f t="shared" si="7"/>
        <v>59</v>
      </c>
    </row>
    <row r="62" spans="44:59" x14ac:dyDescent="0.25">
      <c r="AR62">
        <v>60</v>
      </c>
      <c r="AS62">
        <f t="shared" si="7"/>
        <v>60</v>
      </c>
      <c r="AT62">
        <f t="shared" si="7"/>
        <v>60</v>
      </c>
      <c r="AU62">
        <f t="shared" si="7"/>
        <v>60</v>
      </c>
      <c r="AV62">
        <f t="shared" si="7"/>
        <v>60</v>
      </c>
      <c r="AW62">
        <f t="shared" si="7"/>
        <v>60</v>
      </c>
      <c r="AX62">
        <f t="shared" si="7"/>
        <v>60</v>
      </c>
      <c r="AY62">
        <f t="shared" si="7"/>
        <v>60</v>
      </c>
      <c r="AZ62">
        <f t="shared" si="7"/>
        <v>60</v>
      </c>
      <c r="BA62">
        <f t="shared" si="7"/>
        <v>60</v>
      </c>
      <c r="BB62">
        <f t="shared" si="7"/>
        <v>60</v>
      </c>
      <c r="BC62">
        <f t="shared" si="7"/>
        <v>60</v>
      </c>
      <c r="BD62">
        <f t="shared" si="7"/>
        <v>60</v>
      </c>
      <c r="BE62">
        <f t="shared" si="7"/>
        <v>60</v>
      </c>
      <c r="BF62">
        <f t="shared" si="7"/>
        <v>60</v>
      </c>
      <c r="BG62">
        <f t="shared" si="7"/>
        <v>60</v>
      </c>
    </row>
  </sheetData>
  <mergeCells count="27">
    <mergeCell ref="B1:AP1"/>
    <mergeCell ref="C2:E2"/>
    <mergeCell ref="H2:J2"/>
    <mergeCell ref="AM2:AP2"/>
    <mergeCell ref="G18:H18"/>
    <mergeCell ref="J18:AD18"/>
    <mergeCell ref="AF18:AG18"/>
    <mergeCell ref="AI18:AJ18"/>
    <mergeCell ref="B20:C23"/>
    <mergeCell ref="E20:F20"/>
    <mergeCell ref="E21:F21"/>
    <mergeCell ref="J23:AH23"/>
    <mergeCell ref="AI23:AN23"/>
    <mergeCell ref="J24:AH30"/>
    <mergeCell ref="AI24:AN30"/>
    <mergeCell ref="B27:C27"/>
    <mergeCell ref="D27:E27"/>
    <mergeCell ref="G27:H27"/>
    <mergeCell ref="B28:C28"/>
    <mergeCell ref="D28:E28"/>
    <mergeCell ref="G28:H28"/>
    <mergeCell ref="B29:C29"/>
    <mergeCell ref="D29:E29"/>
    <mergeCell ref="G29:H29"/>
    <mergeCell ref="B30:C30"/>
    <mergeCell ref="D30:E30"/>
    <mergeCell ref="G30:H30"/>
  </mergeCells>
  <conditionalFormatting sqref="E4:E14">
    <cfRule type="cellIs" dxfId="0" priority="9" operator="equal">
      <formula>0</formula>
    </cfRule>
    <cfRule type="cellIs" dxfId="1" priority="10" operator="lessThan">
      <formula>0</formula>
    </cfRule>
  </conditionalFormatting>
  <conditionalFormatting sqref="G3">
    <cfRule type="expression" dxfId="2" priority="1">
      <formula>C3&lt;1</formula>
    </cfRule>
  </conditionalFormatting>
  <conditionalFormatting sqref="G20:AN20">
    <cfRule type="expression" dxfId="3" priority="6">
      <formula>G16=3</formula>
    </cfRule>
    <cfRule type="expression" dxfId="4" priority="7">
      <formula>G16=2</formula>
    </cfRule>
    <cfRule type="expression" dxfId="5" priority="8">
      <formula>G16=1</formula>
    </cfRule>
    <cfRule type="expression" dxfId="6" priority="11">
      <formula>G16=3</formula>
    </cfRule>
    <cfRule type="expression" dxfId="7" priority="12">
      <formula>G16=2</formula>
    </cfRule>
    <cfRule type="expression" dxfId="8" priority="13">
      <formula>G16=1</formula>
    </cfRule>
  </conditionalFormatting>
  <conditionalFormatting sqref="H3">
    <cfRule type="expression" dxfId="9" priority="2">
      <formula>C3&lt;2</formula>
    </cfRule>
  </conditionalFormatting>
  <conditionalFormatting sqref="I3">
    <cfRule type="expression" dxfId="10" priority="3">
      <formula>C3&lt;3</formula>
    </cfRule>
  </conditionalFormatting>
  <conditionalFormatting sqref="J3:AN3">
    <cfRule type="expression" dxfId="11" priority="4">
      <formula>C3&lt;4</formula>
    </cfRule>
  </conditionalFormatting>
  <conditionalFormatting sqref="AJ4:AJ14">
    <cfRule type="expression" dxfId="12" priority="5">
      <formula>$C$3&lt;11</formula>
    </cfRule>
  </conditionalFormatting>
  <dataValidations count="4">
    <dataValidation type="list" allowBlank="1" showInputMessage="1" showErrorMessage="1" sqref="AA10:AN14">
      <formula1>$AR$2:$AR$62</formula1>
    </dataValidation>
    <dataValidation type="list" allowBlank="1" showInputMessage="1" showErrorMessage="1" sqref="AA4:AN14">
      <formula1>$AR$2:$AR$62</formula1>
    </dataValidation>
    <dataValidation type="list" allowBlank="1" showInputMessage="1" showErrorMessage="1" sqref="G10:AN14">
      <formula1>$AR$2:$AR$62</formula1>
    </dataValidation>
    <dataValidation type="list" allowBlank="1" showInputMessage="1" showErrorMessage="1" sqref="G4:AN14">
      <formula1>$AR$2:$AR$62</formula1>
    </dataValidation>
  </dataValidations>
  <printOptions horizontalCentered="1" verticalCentered="1"/>
  <pageMargins left="0.2362204724409449" right="0.2362204724409449" top="0.7480314960629921" bottom="0.7480314960629921" header="0.31496062992125984" footer="0.31496062992125984"/>
  <pageSetup paperSize="8" orientation="landscape" horizontalDpi="4294967295" verticalDpi="4294967295" scale="61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EEPU NOM ECOLE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Louis</dc:creator>
  <cp:lastModifiedBy>Olivier Louis</cp:lastModifiedBy>
  <dcterms:created xsi:type="dcterms:W3CDTF">2024-05-23T23:45:49Z</dcterms:created>
  <dcterms:modified xsi:type="dcterms:W3CDTF">2026-04-25T04:37:40Z</dcterms:modified>
</cp:coreProperties>
</file>