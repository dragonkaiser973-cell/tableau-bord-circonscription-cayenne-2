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ce4027e970dd12e/Circonscription/prévisions/"/>
    </mc:Choice>
  </mc:AlternateContent>
  <xr:revisionPtr revIDLastSave="0" documentId="8_{51F886ED-F5CC-4A25-9F7D-0B26649CF1BE}" xr6:coauthVersionLast="47" xr6:coauthVersionMax="47" xr10:uidLastSave="{00000000-0000-0000-0000-000000000000}"/>
  <bookViews>
    <workbookView xWindow="-26988" yWindow="2952" windowWidth="20856" windowHeight="13884" tabRatio="869" firstSheet="4" activeTab="16" xr2:uid="{00000000-000D-0000-FFFF-FFFF00000000}"/>
  </bookViews>
  <sheets>
    <sheet name="AIDE" sheetId="4" r:id="rId1"/>
    <sheet name="Exemple" sheetId="6" r:id="rId2"/>
    <sheet name="EEPU NOM ECOLE" sheetId="21" r:id="rId3"/>
    <sheet name="ECOLE 2" sheetId="37" r:id="rId4"/>
    <sheet name="ECOLE 3" sheetId="38" r:id="rId5"/>
    <sheet name="ECOLE 4" sheetId="39" r:id="rId6"/>
    <sheet name="ECOLE 5" sheetId="40" r:id="rId7"/>
    <sheet name="ECOLE 6" sheetId="41" r:id="rId8"/>
    <sheet name="ECOLE 7" sheetId="42" r:id="rId9"/>
    <sheet name="ECOLE 8" sheetId="43" r:id="rId10"/>
    <sheet name="ECOLE 9" sheetId="44" r:id="rId11"/>
    <sheet name="ECOLE 10" sheetId="45" r:id="rId12"/>
    <sheet name="ECOLE 11" sheetId="46" r:id="rId13"/>
    <sheet name="ECOLE 12" sheetId="47" r:id="rId14"/>
    <sheet name="ECOLE 13" sheetId="48" r:id="rId15"/>
    <sheet name="ECOLE 14" sheetId="49" r:id="rId16"/>
    <sheet name="ECOLE 15" sheetId="50" r:id="rId17"/>
  </sheets>
  <definedNames>
    <definedName name="MoyClasses" localSheetId="11">OFFSET('ECOLE 10'!$G$21,0,0,1,'ECOLE 10'!$C$3)</definedName>
    <definedName name="MoyClasses" localSheetId="12">OFFSET('ECOLE 11'!$G$21,0,0,1,'ECOLE 11'!$C$3)</definedName>
    <definedName name="MoyClasses" localSheetId="13">OFFSET('ECOLE 12'!$G$21,0,0,1,'ECOLE 12'!$C$3)</definedName>
    <definedName name="MoyClasses" localSheetId="14">OFFSET('ECOLE 13'!$G$21,0,0,1,'ECOLE 13'!$C$3)</definedName>
    <definedName name="MoyClasses" localSheetId="15">OFFSET('ECOLE 14'!$G$21,0,0,1,'ECOLE 14'!$C$3)</definedName>
    <definedName name="MoyClasses" localSheetId="16">OFFSET('ECOLE 15'!$G$21,0,0,1,'ECOLE 15'!$C$3)</definedName>
    <definedName name="MoyClasses" localSheetId="3">OFFSET('ECOLE 2'!$G$21,0,0,1,'ECOLE 2'!$C$3)</definedName>
    <definedName name="MoyClasses" localSheetId="4">OFFSET('ECOLE 3'!$G$21,0,0,1,'ECOLE 3'!$C$3)</definedName>
    <definedName name="MoyClasses" localSheetId="5">OFFSET('ECOLE 4'!$G$21,0,0,1,'ECOLE 4'!$C$3)</definedName>
    <definedName name="MoyClasses" localSheetId="6">OFFSET('ECOLE 5'!$G$21,0,0,1,'ECOLE 5'!$C$3)</definedName>
    <definedName name="MoyClasses" localSheetId="7">OFFSET('ECOLE 6'!$G$21,0,0,1,'ECOLE 6'!$C$3)</definedName>
    <definedName name="MoyClasses" localSheetId="8">OFFSET('ECOLE 7'!$G$21,0,0,1,'ECOLE 7'!$C$3)</definedName>
    <definedName name="MoyClasses" localSheetId="9">OFFSET('ECOLE 8'!$G$21,0,0,1,'ECOLE 8'!$C$3)</definedName>
    <definedName name="MoyClasses" localSheetId="10">OFFSET('ECOLE 9'!$G$21,0,0,1,'ECOLE 9'!$C$3)</definedName>
    <definedName name="MoyClasses" localSheetId="2">OFFSET('EEPU NOM ECOLE'!$G$21,0,0,1,'EEPU NOM ECOLE'!$C$3)</definedName>
    <definedName name="MoyClasses" localSheetId="1">OFFSET(Exemple!$G$21,0,0,1,Exemple!$C$3)</definedName>
    <definedName name="MoyClasses">OFFSET(#REF!,0,0,1,#REF!)</definedName>
    <definedName name="MoyClassesA" localSheetId="11">OFFSET(#REF!,0,0,1,#REF!)</definedName>
    <definedName name="MoyClassesA" localSheetId="12">OFFSET(#REF!,0,0,1,#REF!)</definedName>
    <definedName name="MoyClassesA" localSheetId="13">OFFSET(#REF!,0,0,1,#REF!)</definedName>
    <definedName name="MoyClassesA" localSheetId="14">OFFSET(#REF!,0,0,1,#REF!)</definedName>
    <definedName name="MoyClassesA" localSheetId="15">OFFSET(#REF!,0,0,1,#REF!)</definedName>
    <definedName name="MoyClassesA" localSheetId="16">OFFSET(#REF!,0,0,1,#REF!)</definedName>
    <definedName name="MoyClassesA" localSheetId="3">OFFSET(#REF!,0,0,1,#REF!)</definedName>
    <definedName name="MoyClassesA" localSheetId="4">OFFSET(#REF!,0,0,1,#REF!)</definedName>
    <definedName name="MoyClassesA" localSheetId="5">OFFSET(#REF!,0,0,1,#REF!)</definedName>
    <definedName name="MoyClassesA" localSheetId="6">OFFSET(#REF!,0,0,1,#REF!)</definedName>
    <definedName name="MoyClassesA" localSheetId="7">OFFSET(#REF!,0,0,1,#REF!)</definedName>
    <definedName name="MoyClassesA" localSheetId="8">OFFSET(#REF!,0,0,1,#REF!)</definedName>
    <definedName name="MoyClassesA" localSheetId="9">OFFSET(#REF!,0,0,1,#REF!)</definedName>
    <definedName name="MoyClassesA" localSheetId="10">OFFSET(#REF!,0,0,1,#REF!)</definedName>
    <definedName name="MoyClassesA" localSheetId="2">OFFSET(#REF!,0,0,1,#REF!)</definedName>
    <definedName name="MoyClassesA">OFFSET(#REF!,0,0,1,#REF!)</definedName>
    <definedName name="moyloac3a" localSheetId="11">OFFSET(#REF!,0,#REF!-1,1,#REF!+1-#REF!)</definedName>
    <definedName name="moyloac3a" localSheetId="12">OFFSET(#REF!,0,#REF!-1,1,#REF!+1-#REF!)</definedName>
    <definedName name="moyloac3a" localSheetId="13">OFFSET(#REF!,0,#REF!-1,1,#REF!+1-#REF!)</definedName>
    <definedName name="moyloac3a" localSheetId="14">OFFSET(#REF!,0,#REF!-1,1,#REF!+1-#REF!)</definedName>
    <definedName name="moyloac3a" localSheetId="15">OFFSET(#REF!,0,#REF!-1,1,#REF!+1-#REF!)</definedName>
    <definedName name="moyloac3a" localSheetId="16">OFFSET(#REF!,0,#REF!-1,1,#REF!+1-#REF!)</definedName>
    <definedName name="moyloac3a" localSheetId="3">OFFSET(#REF!,0,#REF!-1,1,#REF!+1-#REF!)</definedName>
    <definedName name="moyloac3a" localSheetId="4">OFFSET(#REF!,0,#REF!-1,1,#REF!+1-#REF!)</definedName>
    <definedName name="moyloac3a" localSheetId="5">OFFSET(#REF!,0,#REF!-1,1,#REF!+1-#REF!)</definedName>
    <definedName name="moyloac3a" localSheetId="6">OFFSET(#REF!,0,#REF!-1,1,#REF!+1-#REF!)</definedName>
    <definedName name="moyloac3a" localSheetId="7">OFFSET(#REF!,0,#REF!-1,1,#REF!+1-#REF!)</definedName>
    <definedName name="moyloac3a" localSheetId="8">OFFSET(#REF!,0,#REF!-1,1,#REF!+1-#REF!)</definedName>
    <definedName name="moyloac3a" localSheetId="9">OFFSET(#REF!,0,#REF!-1,1,#REF!+1-#REF!)</definedName>
    <definedName name="moyloac3a" localSheetId="10">OFFSET(#REF!,0,#REF!-1,1,#REF!+1-#REF!)</definedName>
    <definedName name="moyloac3a" localSheetId="2">OFFSET(#REF!,0,#REF!-1,1,#REF!+1-#REF!)</definedName>
    <definedName name="moyloac3a">OFFSET(#REF!,0,#REF!-1,1,#REF!+1-#REF!)</definedName>
    <definedName name="moyloc1" localSheetId="11">OFFSET('ECOLE 10'!$G$21,0,'ECOLE 10'!$B$28-1,1,'ECOLE 10'!$B$30+1-'ECOLE 10'!$B$28)</definedName>
    <definedName name="moyloc1" localSheetId="12">OFFSET('ECOLE 11'!$G$21,0,'ECOLE 11'!$B$28-1,1,'ECOLE 11'!$B$30+1-'ECOLE 11'!$B$28)</definedName>
    <definedName name="moyloc1" localSheetId="13">OFFSET('ECOLE 12'!$G$21,0,'ECOLE 12'!$B$28-1,1,'ECOLE 12'!$B$30+1-'ECOLE 12'!$B$28)</definedName>
    <definedName name="moyloc1" localSheetId="14">OFFSET('ECOLE 13'!$G$21,0,'ECOLE 13'!$B$28-1,1,'ECOLE 13'!$B$30+1-'ECOLE 13'!$B$28)</definedName>
    <definedName name="moyloc1" localSheetId="15">OFFSET('ECOLE 14'!$G$21,0,'ECOLE 14'!$B$28-1,1,'ECOLE 14'!$B$30+1-'ECOLE 14'!$B$28)</definedName>
    <definedName name="moyloc1" localSheetId="16">OFFSET('ECOLE 15'!$G$21,0,'ECOLE 15'!$B$28-1,1,'ECOLE 15'!$B$30+1-'ECOLE 15'!$B$28)</definedName>
    <definedName name="moyloc1" localSheetId="3">OFFSET('ECOLE 2'!$G$21,0,'ECOLE 2'!$B$28-1,1,'ECOLE 2'!$B$30+1-'ECOLE 2'!$B$28)</definedName>
    <definedName name="moyloc1" localSheetId="4">OFFSET('ECOLE 3'!$G$21,0,'ECOLE 3'!$B$28-1,1,'ECOLE 3'!$B$30+1-'ECOLE 3'!$B$28)</definedName>
    <definedName name="moyloc1" localSheetId="5">OFFSET('ECOLE 4'!$G$21,0,'ECOLE 4'!$B$28-1,1,'ECOLE 4'!$B$30+1-'ECOLE 4'!$B$28)</definedName>
    <definedName name="moyloc1" localSheetId="6">OFFSET('ECOLE 5'!$G$21,0,'ECOLE 5'!$B$28-1,1,'ECOLE 5'!$B$30+1-'ECOLE 5'!$B$28)</definedName>
    <definedName name="moyloc1" localSheetId="7">OFFSET('ECOLE 6'!$G$21,0,'ECOLE 6'!$B$28-1,1,'ECOLE 6'!$B$30+1-'ECOLE 6'!$B$28)</definedName>
    <definedName name="moyloc1" localSheetId="8">OFFSET('ECOLE 7'!$G$21,0,'ECOLE 7'!$B$28-1,1,'ECOLE 7'!$B$30+1-'ECOLE 7'!$B$28)</definedName>
    <definedName name="moyloc1" localSheetId="9">OFFSET('ECOLE 8'!$G$21,0,'ECOLE 8'!$B$28-1,1,'ECOLE 8'!$B$30+1-'ECOLE 8'!$B$28)</definedName>
    <definedName name="moyloc1" localSheetId="10">OFFSET('ECOLE 9'!$G$21,0,'ECOLE 9'!$B$28-1,1,'ECOLE 9'!$B$30+1-'ECOLE 9'!$B$28)</definedName>
    <definedName name="moyloc1" localSheetId="2">OFFSET('EEPU NOM ECOLE'!$G$21,0,'EEPU NOM ECOLE'!$B$28-1,1,'EEPU NOM ECOLE'!$B$30+1-'EEPU NOM ECOLE'!$B$28)</definedName>
    <definedName name="moyloc1" localSheetId="1">OFFSET(Exemple!$G$21,0,Exemple!$B$28-1,1,Exemple!$B$30+1-Exemple!$B$28)</definedName>
    <definedName name="moyloc1">OFFSET(#REF!,0,#REF!-1,1,#REF!+1-#REF!)</definedName>
    <definedName name="moyloc1a" localSheetId="11">OFFSET(#REF!,0,#REF!-1,1,#REF!+1-#REF!)</definedName>
    <definedName name="moyloc1a" localSheetId="12">OFFSET(#REF!,0,#REF!-1,1,#REF!+1-#REF!)</definedName>
    <definedName name="moyloc1a" localSheetId="13">OFFSET(#REF!,0,#REF!-1,1,#REF!+1-#REF!)</definedName>
    <definedName name="moyloc1a" localSheetId="14">OFFSET(#REF!,0,#REF!-1,1,#REF!+1-#REF!)</definedName>
    <definedName name="moyloc1a" localSheetId="15">OFFSET(#REF!,0,#REF!-1,1,#REF!+1-#REF!)</definedName>
    <definedName name="moyloc1a" localSheetId="16">OFFSET(#REF!,0,#REF!-1,1,#REF!+1-#REF!)</definedName>
    <definedName name="moyloc1a" localSheetId="3">OFFSET(#REF!,0,#REF!-1,1,#REF!+1-#REF!)</definedName>
    <definedName name="moyloc1a" localSheetId="4">OFFSET(#REF!,0,#REF!-1,1,#REF!+1-#REF!)</definedName>
    <definedName name="moyloc1a" localSheetId="5">OFFSET(#REF!,0,#REF!-1,1,#REF!+1-#REF!)</definedName>
    <definedName name="moyloc1a" localSheetId="6">OFFSET(#REF!,0,#REF!-1,1,#REF!+1-#REF!)</definedName>
    <definedName name="moyloc1a" localSheetId="7">OFFSET(#REF!,0,#REF!-1,1,#REF!+1-#REF!)</definedName>
    <definedName name="moyloc1a" localSheetId="8">OFFSET(#REF!,0,#REF!-1,1,#REF!+1-#REF!)</definedName>
    <definedName name="moyloc1a" localSheetId="9">OFFSET(#REF!,0,#REF!-1,1,#REF!+1-#REF!)</definedName>
    <definedName name="moyloc1a" localSheetId="10">OFFSET(#REF!,0,#REF!-1,1,#REF!+1-#REF!)</definedName>
    <definedName name="moyloc1a" localSheetId="2">OFFSET(#REF!,0,#REF!-1,1,#REF!+1-#REF!)</definedName>
    <definedName name="moyloc1a">OFFSET(#REF!,0,#REF!-1,1,#REF!+1-#REF!)</definedName>
    <definedName name="moyloc2" localSheetId="11">OFFSET('ECOLE 10'!$G$21,0,'ECOLE 10'!$D$28-1,1,'ECOLE 10'!$D$30+1-'ECOLE 10'!$D$28)</definedName>
    <definedName name="moyloc2" localSheetId="12">OFFSET('ECOLE 11'!$G$21,0,'ECOLE 11'!$D$28-1,1,'ECOLE 11'!$D$30+1-'ECOLE 11'!$D$28)</definedName>
    <definedName name="moyloc2" localSheetId="13">OFFSET('ECOLE 12'!$G$21,0,'ECOLE 12'!$D$28-1,1,'ECOLE 12'!$D$30+1-'ECOLE 12'!$D$28)</definedName>
    <definedName name="moyloc2" localSheetId="14">OFFSET('ECOLE 13'!$G$21,0,'ECOLE 13'!$D$28-1,1,'ECOLE 13'!$D$30+1-'ECOLE 13'!$D$28)</definedName>
    <definedName name="moyloc2" localSheetId="15">OFFSET('ECOLE 14'!$G$21,0,'ECOLE 14'!$D$28-1,1,'ECOLE 14'!$D$30+1-'ECOLE 14'!$D$28)</definedName>
    <definedName name="moyloc2" localSheetId="16">OFFSET('ECOLE 15'!$G$21,0,'ECOLE 15'!$D$28-1,1,'ECOLE 15'!$D$30+1-'ECOLE 15'!$D$28)</definedName>
    <definedName name="moyloc2" localSheetId="3">OFFSET('ECOLE 2'!$G$21,0,'ECOLE 2'!$D$28-1,1,'ECOLE 2'!$D$30+1-'ECOLE 2'!$D$28)</definedName>
    <definedName name="moyloc2" localSheetId="4">OFFSET('ECOLE 3'!$G$21,0,'ECOLE 3'!$D$28-1,1,'ECOLE 3'!$D$30+1-'ECOLE 3'!$D$28)</definedName>
    <definedName name="moyloc2" localSheetId="5">OFFSET('ECOLE 4'!$G$21,0,'ECOLE 4'!$D$28-1,1,'ECOLE 4'!$D$30+1-'ECOLE 4'!$D$28)</definedName>
    <definedName name="moyloc2" localSheetId="6">OFFSET('ECOLE 5'!$G$21,0,'ECOLE 5'!$D$28-1,1,'ECOLE 5'!$D$30+1-'ECOLE 5'!$D$28)</definedName>
    <definedName name="moyloc2" localSheetId="7">OFFSET('ECOLE 6'!$G$21,0,'ECOLE 6'!$D$28-1,1,'ECOLE 6'!$D$30+1-'ECOLE 6'!$D$28)</definedName>
    <definedName name="moyloc2" localSheetId="8">OFFSET('ECOLE 7'!$G$21,0,'ECOLE 7'!$D$28-1,1,'ECOLE 7'!$D$30+1-'ECOLE 7'!$D$28)</definedName>
    <definedName name="moyloc2" localSheetId="9">OFFSET('ECOLE 8'!$G$21,0,'ECOLE 8'!$D$28-1,1,'ECOLE 8'!$D$30+1-'ECOLE 8'!$D$28)</definedName>
    <definedName name="moyloc2" localSheetId="10">OFFSET('ECOLE 9'!$G$21,0,'ECOLE 9'!$D$28-1,1,'ECOLE 9'!$D$30+1-'ECOLE 9'!$D$28)</definedName>
    <definedName name="moyloc2" localSheetId="2">OFFSET('EEPU NOM ECOLE'!$G$21,0,'EEPU NOM ECOLE'!$D$28-1,1,'EEPU NOM ECOLE'!$D$30+1-'EEPU NOM ECOLE'!$D$28)</definedName>
    <definedName name="moyloc2" localSheetId="1">OFFSET(Exemple!$G$21,0,Exemple!$D$28-1,1,Exemple!$D$30+1-Exemple!$D$28)</definedName>
    <definedName name="moyloc2">OFFSET(#REF!,0,#REF!-1,1,#REF!+1-#REF!)</definedName>
    <definedName name="moyloc3" localSheetId="11">OFFSET('ECOLE 10'!$G$21,0,'ECOLE 10'!$G$28-1,1,'ECOLE 10'!$G$30+1-'ECOLE 10'!$G$28)</definedName>
    <definedName name="moyloc3" localSheetId="12">OFFSET('ECOLE 11'!$G$21,0,'ECOLE 11'!$G$28-1,1,'ECOLE 11'!$G$30+1-'ECOLE 11'!$G$28)</definedName>
    <definedName name="moyloc3" localSheetId="13">OFFSET('ECOLE 12'!$G$21,0,'ECOLE 12'!$G$28-1,1,'ECOLE 12'!$G$30+1-'ECOLE 12'!$G$28)</definedName>
    <definedName name="moyloc3" localSheetId="14">OFFSET('ECOLE 13'!$G$21,0,'ECOLE 13'!$G$28-1,1,'ECOLE 13'!$G$30+1-'ECOLE 13'!$G$28)</definedName>
    <definedName name="moyloc3" localSheetId="15">OFFSET('ECOLE 14'!$G$21,0,'ECOLE 14'!$G$28-1,1,'ECOLE 14'!$G$30+1-'ECOLE 14'!$G$28)</definedName>
    <definedName name="moyloc3" localSheetId="16">OFFSET('ECOLE 15'!$G$21,0,'ECOLE 15'!$G$28-1,1,'ECOLE 15'!$G$30+1-'ECOLE 15'!$G$28)</definedName>
    <definedName name="moyloc3" localSheetId="3">OFFSET('ECOLE 2'!$G$21,0,'ECOLE 2'!$G$28-1,1,'ECOLE 2'!$G$30+1-'ECOLE 2'!$G$28)</definedName>
    <definedName name="moyloc3" localSheetId="4">OFFSET('ECOLE 3'!$G$21,0,'ECOLE 3'!$G$28-1,1,'ECOLE 3'!$G$30+1-'ECOLE 3'!$G$28)</definedName>
    <definedName name="moyloc3" localSheetId="5">OFFSET('ECOLE 4'!$G$21,0,'ECOLE 4'!$G$28-1,1,'ECOLE 4'!$G$30+1-'ECOLE 4'!$G$28)</definedName>
    <definedName name="moyloc3" localSheetId="6">OFFSET('ECOLE 5'!$G$21,0,'ECOLE 5'!$G$28-1,1,'ECOLE 5'!$G$30+1-'ECOLE 5'!$G$28)</definedName>
    <definedName name="moyloc3" localSheetId="7">OFFSET('ECOLE 6'!$G$21,0,'ECOLE 6'!$G$28-1,1,'ECOLE 6'!$G$30+1-'ECOLE 6'!$G$28)</definedName>
    <definedName name="moyloc3" localSheetId="8">OFFSET('ECOLE 7'!$G$21,0,'ECOLE 7'!$G$28-1,1,'ECOLE 7'!$G$30+1-'ECOLE 7'!$G$28)</definedName>
    <definedName name="moyloc3" localSheetId="9">OFFSET('ECOLE 8'!$G$21,0,'ECOLE 8'!$G$28-1,1,'ECOLE 8'!$G$30+1-'ECOLE 8'!$G$28)</definedName>
    <definedName name="moyloc3" localSheetId="10">OFFSET('ECOLE 9'!$G$21,0,'ECOLE 9'!$G$28-1,1,'ECOLE 9'!$G$30+1-'ECOLE 9'!$G$28)</definedName>
    <definedName name="moyloc3" localSheetId="2">OFFSET('EEPU NOM ECOLE'!$G$21,0,'EEPU NOM ECOLE'!$G$28-1,1,'EEPU NOM ECOLE'!$G$30+1-'EEPU NOM ECOLE'!$G$28)</definedName>
    <definedName name="moyloc3" localSheetId="1">OFFSET(Exemple!$G$21,0,Exemple!$G$28-1,1,Exemple!$G$30+1-Exemple!$G$28)</definedName>
    <definedName name="moyloc3">OFFSET(#REF!,0,#REF!-1,1,#REF!+1-#REF!)</definedName>
    <definedName name="PlageIntitulés" localSheetId="11">OFFSET('ECOLE 10'!$G$20,0,0,1,'ECOLE 10'!$C$3)</definedName>
    <definedName name="PlageIntitulés" localSheetId="12">OFFSET('ECOLE 11'!$G$20,0,0,1,'ECOLE 11'!$C$3)</definedName>
    <definedName name="PlageIntitulés" localSheetId="13">OFFSET('ECOLE 12'!$G$20,0,0,1,'ECOLE 12'!$C$3)</definedName>
    <definedName name="PlageIntitulés" localSheetId="14">OFFSET('ECOLE 13'!$G$20,0,0,1,'ECOLE 13'!$C$3)</definedName>
    <definedName name="PlageIntitulés" localSheetId="15">OFFSET('ECOLE 14'!$G$20,0,0,1,'ECOLE 14'!$C$3)</definedName>
    <definedName name="PlageIntitulés" localSheetId="16">OFFSET('ECOLE 15'!$G$20,0,0,1,'ECOLE 15'!$C$3)</definedName>
    <definedName name="PlageIntitulés" localSheetId="3">OFFSET('ECOLE 2'!$G$20,0,0,1,'ECOLE 2'!$C$3)</definedName>
    <definedName name="PlageIntitulés" localSheetId="4">OFFSET('ECOLE 3'!$G$20,0,0,1,'ECOLE 3'!$C$3)</definedName>
    <definedName name="PlageIntitulés" localSheetId="5">OFFSET('ECOLE 4'!$G$20,0,0,1,'ECOLE 4'!$C$3)</definedName>
    <definedName name="PlageIntitulés" localSheetId="6">OFFSET('ECOLE 5'!$G$20,0,0,1,'ECOLE 5'!$C$3)</definedName>
    <definedName name="PlageIntitulés" localSheetId="7">OFFSET('ECOLE 6'!$G$20,0,0,1,'ECOLE 6'!$C$3)</definedName>
    <definedName name="PlageIntitulés" localSheetId="8">OFFSET('ECOLE 7'!$G$20,0,0,1,'ECOLE 7'!$C$3)</definedName>
    <definedName name="PlageIntitulés" localSheetId="9">OFFSET('ECOLE 8'!$G$20,0,0,1,'ECOLE 8'!$C$3)</definedName>
    <definedName name="PlageIntitulés" localSheetId="10">OFFSET('ECOLE 9'!$G$20,0,0,1,'ECOLE 9'!$C$3)</definedName>
    <definedName name="PlageIntitulés" localSheetId="2">OFFSET('EEPU NOM ECOLE'!$G$20,0,0,1,'EEPU NOM ECOLE'!$C$3)</definedName>
    <definedName name="PlageIntitulés" localSheetId="1">OFFSET(Exemple!$G$20,0,0,1,Exemple!$C$3)</definedName>
    <definedName name="PlageIntitulés">OFFSET(#REF!,0,0,1,#REF!)</definedName>
    <definedName name="PlageIntitulésA" localSheetId="11">OFFSET(#REF!,0,0,1,#REF!)</definedName>
    <definedName name="PlageIntitulésA" localSheetId="12">OFFSET(#REF!,0,0,1,#REF!)</definedName>
    <definedName name="PlageIntitulésA" localSheetId="13">OFFSET(#REF!,0,0,1,#REF!)</definedName>
    <definedName name="PlageIntitulésA" localSheetId="14">OFFSET(#REF!,0,0,1,#REF!)</definedName>
    <definedName name="PlageIntitulésA" localSheetId="15">OFFSET(#REF!,0,0,1,#REF!)</definedName>
    <definedName name="PlageIntitulésA" localSheetId="16">OFFSET(#REF!,0,0,1,#REF!)</definedName>
    <definedName name="PlageIntitulésA" localSheetId="3">OFFSET(#REF!,0,0,1,#REF!)</definedName>
    <definedName name="PlageIntitulésA" localSheetId="4">OFFSET(#REF!,0,0,1,#REF!)</definedName>
    <definedName name="PlageIntitulésA" localSheetId="5">OFFSET(#REF!,0,0,1,#REF!)</definedName>
    <definedName name="PlageIntitulésA" localSheetId="6">OFFSET(#REF!,0,0,1,#REF!)</definedName>
    <definedName name="PlageIntitulésA" localSheetId="7">OFFSET(#REF!,0,0,1,#REF!)</definedName>
    <definedName name="PlageIntitulésA" localSheetId="8">OFFSET(#REF!,0,0,1,#REF!)</definedName>
    <definedName name="PlageIntitulésA" localSheetId="9">OFFSET(#REF!,0,0,1,#REF!)</definedName>
    <definedName name="PlageIntitulésA" localSheetId="10">OFFSET(#REF!,0,0,1,#REF!)</definedName>
    <definedName name="PlageIntitulésA" localSheetId="2">OFFSET(#REF!,0,0,1,#REF!)</definedName>
    <definedName name="PlageIntitulésA">OFFSET(#REF!,0,0,1,#REF!)</definedName>
    <definedName name="PlageProfils" localSheetId="11">OFFSET('ECOLE 10'!$G$16,0,0,1,'ECOLE 10'!$C$3)</definedName>
    <definedName name="PlageProfils" localSheetId="12">OFFSET('ECOLE 11'!$G$16,0,0,1,'ECOLE 11'!$C$3)</definedName>
    <definedName name="PlageProfils" localSheetId="13">OFFSET('ECOLE 12'!$G$16,0,0,1,'ECOLE 12'!$C$3)</definedName>
    <definedName name="PlageProfils" localSheetId="14">OFFSET('ECOLE 13'!$G$16,0,0,1,'ECOLE 13'!$C$3)</definedName>
    <definedName name="PlageProfils" localSheetId="15">OFFSET('ECOLE 14'!$G$16,0,0,1,'ECOLE 14'!$C$3)</definedName>
    <definedName name="PlageProfils" localSheetId="16">OFFSET('ECOLE 15'!$G$16,0,0,1,'ECOLE 15'!$C$3)</definedName>
    <definedName name="PlageProfils" localSheetId="3">OFFSET('ECOLE 2'!$G$16,0,0,1,'ECOLE 2'!$C$3)</definedName>
    <definedName name="PlageProfils" localSheetId="4">OFFSET('ECOLE 3'!$G$16,0,0,1,'ECOLE 3'!$C$3)</definedName>
    <definedName name="PlageProfils" localSheetId="5">OFFSET('ECOLE 4'!$G$16,0,0,1,'ECOLE 4'!$C$3)</definedName>
    <definedName name="PlageProfils" localSheetId="6">OFFSET('ECOLE 5'!$G$16,0,0,1,'ECOLE 5'!$C$3)</definedName>
    <definedName name="PlageProfils" localSheetId="7">OFFSET('ECOLE 6'!$G$16,0,0,1,'ECOLE 6'!$C$3)</definedName>
    <definedName name="PlageProfils" localSheetId="8">OFFSET('ECOLE 7'!$G$16,0,0,1,'ECOLE 7'!$C$3)</definedName>
    <definedName name="PlageProfils" localSheetId="9">OFFSET('ECOLE 8'!$G$16,0,0,1,'ECOLE 8'!$C$3)</definedName>
    <definedName name="PlageProfils" localSheetId="10">OFFSET('ECOLE 9'!$G$16,0,0,1,'ECOLE 9'!$C$3)</definedName>
    <definedName name="PlageProfils" localSheetId="2">OFFSET('EEPU NOM ECOLE'!$G$16,0,0,1,'EEPU NOM ECOLE'!$C$3)</definedName>
    <definedName name="PlageProfils">OFFSET(Exemple!$G$16,0,0,1,Exemple!$C$3)</definedName>
    <definedName name="PlageProfils1">OFFSET(#REF!,0,0,1,#REF!)</definedName>
    <definedName name="Plageprofils2">OFFSET(#REF!,0,0,1,#REF!)</definedName>
    <definedName name="Plageprofils3">OFFSET(#REF!,0,0,1,#REF!)</definedName>
    <definedName name="PlageProfils4">OFFSET(#REF!,0,0,1,#REF!)</definedName>
    <definedName name="PlageProfils5">OFFSET(#REF!,0,0,1,#REF!)</definedName>
    <definedName name="PlageProfils6">OFFSET(#REF!,0,0,1,#REF!)</definedName>
    <definedName name="totalclasses" localSheetId="11">OFFSET('ECOLE 10'!$G$4,0,0,11,'ECOLE 10'!$C$3)</definedName>
    <definedName name="totalclasses" localSheetId="12">OFFSET('ECOLE 11'!$G$4,0,0,11,'ECOLE 11'!$C$3)</definedName>
    <definedName name="totalclasses" localSheetId="13">OFFSET('ECOLE 12'!$G$4,0,0,11,'ECOLE 12'!$C$3)</definedName>
    <definedName name="totalclasses" localSheetId="14">OFFSET('ECOLE 13'!$G$4,0,0,11,'ECOLE 13'!$C$3)</definedName>
    <definedName name="totalclasses" localSheetId="15">OFFSET('ECOLE 14'!$G$4,0,0,11,'ECOLE 14'!$C$3)</definedName>
    <definedName name="totalclasses" localSheetId="16">OFFSET('ECOLE 15'!$G$4,0,0,11,'ECOLE 15'!$C$3)</definedName>
    <definedName name="totalclasses" localSheetId="3">OFFSET('ECOLE 2'!$G$4,0,0,11,'ECOLE 2'!$C$3)</definedName>
    <definedName name="totalclasses" localSheetId="4">OFFSET('ECOLE 3'!$G$4,0,0,11,'ECOLE 3'!$C$3)</definedName>
    <definedName name="totalclasses" localSheetId="5">OFFSET('ECOLE 4'!$G$4,0,0,11,'ECOLE 4'!$C$3)</definedName>
    <definedName name="totalclasses" localSheetId="6">OFFSET('ECOLE 5'!$G$4,0,0,11,'ECOLE 5'!$C$3)</definedName>
    <definedName name="totalclasses" localSheetId="7">OFFSET('ECOLE 6'!$G$4,0,0,11,'ECOLE 6'!$C$3)</definedName>
    <definedName name="totalclasses" localSheetId="8">OFFSET('ECOLE 7'!$G$4,0,0,11,'ECOLE 7'!$C$3)</definedName>
    <definedName name="totalclasses" localSheetId="9">OFFSET('ECOLE 8'!$G$4,0,0,11,'ECOLE 8'!$C$3)</definedName>
    <definedName name="totalclasses" localSheetId="10">OFFSET('ECOLE 9'!$G$4,0,0,11,'ECOLE 9'!$C$3)</definedName>
    <definedName name="totalclasses" localSheetId="2">OFFSET('EEPU NOM ECOLE'!$G$4,0,0,11,'EEPU NOM ECOLE'!$C$3)</definedName>
    <definedName name="totalclasses" localSheetId="1">OFFSET(Exemple!$G$4,0,0,11,Exemple!$C$3)</definedName>
    <definedName name="_xlnm.Print_Area" localSheetId="11">'ECOLE 10'!$A$1:$AP$31</definedName>
    <definedName name="_xlnm.Print_Area" localSheetId="12">'ECOLE 11'!$A$1:$AP$31</definedName>
    <definedName name="_xlnm.Print_Area" localSheetId="13">'ECOLE 12'!$A$1:$AP$31</definedName>
    <definedName name="_xlnm.Print_Area" localSheetId="14">'ECOLE 13'!$A$1:$AP$31</definedName>
    <definedName name="_xlnm.Print_Area" localSheetId="15">'ECOLE 14'!$A$1:$AP$31</definedName>
    <definedName name="_xlnm.Print_Area" localSheetId="16">'ECOLE 15'!$A$1:$AP$31</definedName>
    <definedName name="_xlnm.Print_Area" localSheetId="3">'ECOLE 2'!$A$1:$AP$31</definedName>
    <definedName name="_xlnm.Print_Area" localSheetId="4">'ECOLE 3'!$A$1:$AP$31</definedName>
    <definedName name="_xlnm.Print_Area" localSheetId="5">'ECOLE 4'!$A$1:$AP$31</definedName>
    <definedName name="_xlnm.Print_Area" localSheetId="6">'ECOLE 5'!$A$1:$AP$31</definedName>
    <definedName name="_xlnm.Print_Area" localSheetId="7">'ECOLE 6'!$A$1:$AP$31</definedName>
    <definedName name="_xlnm.Print_Area" localSheetId="8">'ECOLE 7'!$A$1:$AP$31</definedName>
    <definedName name="_xlnm.Print_Area" localSheetId="9">'ECOLE 8'!$A$1:$AP$31</definedName>
    <definedName name="_xlnm.Print_Area" localSheetId="10">'ECOLE 9'!$A$1:$AP$31</definedName>
    <definedName name="_xlnm.Print_Area" localSheetId="2">'EEPU NOM ECOLE'!$A$1:$AP$31</definedName>
    <definedName name="_xlnm.Print_Area" localSheetId="1">Exemple!$A$3:$V$30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G62" i="50" l="1"/>
  <c r="BF62" i="50"/>
  <c r="BE62" i="50"/>
  <c r="BD62" i="50"/>
  <c r="BC62" i="50"/>
  <c r="BB62" i="50"/>
  <c r="BA62" i="50"/>
  <c r="AZ62" i="50"/>
  <c r="AY62" i="50"/>
  <c r="AX62" i="50"/>
  <c r="AW62" i="50"/>
  <c r="AV62" i="50"/>
  <c r="AU62" i="50"/>
  <c r="AT62" i="50"/>
  <c r="AS62" i="50"/>
  <c r="BG61" i="50"/>
  <c r="BF61" i="50"/>
  <c r="BE61" i="50"/>
  <c r="BD61" i="50"/>
  <c r="BC61" i="50"/>
  <c r="BB61" i="50"/>
  <c r="BA61" i="50"/>
  <c r="AZ61" i="50"/>
  <c r="AY61" i="50"/>
  <c r="AX61" i="50"/>
  <c r="AW61" i="50"/>
  <c r="AV61" i="50"/>
  <c r="AU61" i="50"/>
  <c r="AT61" i="50"/>
  <c r="AS61" i="50"/>
  <c r="BG60" i="50"/>
  <c r="BF60" i="50"/>
  <c r="BE60" i="50"/>
  <c r="BD60" i="50"/>
  <c r="BC60" i="50"/>
  <c r="BB60" i="50"/>
  <c r="BA60" i="50"/>
  <c r="AZ60" i="50"/>
  <c r="AY60" i="50"/>
  <c r="AX60" i="50"/>
  <c r="AW60" i="50"/>
  <c r="AV60" i="50"/>
  <c r="AU60" i="50"/>
  <c r="AT60" i="50"/>
  <c r="AS60" i="50"/>
  <c r="BG59" i="50"/>
  <c r="BF59" i="50"/>
  <c r="BE59" i="50"/>
  <c r="BD59" i="50"/>
  <c r="BC59" i="50"/>
  <c r="BB59" i="50"/>
  <c r="BA59" i="50"/>
  <c r="AZ59" i="50"/>
  <c r="AY59" i="50"/>
  <c r="AX59" i="50"/>
  <c r="AW59" i="50"/>
  <c r="AV59" i="50"/>
  <c r="AU59" i="50"/>
  <c r="AT59" i="50"/>
  <c r="AS59" i="50"/>
  <c r="BG58" i="50"/>
  <c r="BF58" i="50"/>
  <c r="BE58" i="50"/>
  <c r="BD58" i="50"/>
  <c r="BC58" i="50"/>
  <c r="BB58" i="50"/>
  <c r="BA58" i="50"/>
  <c r="AZ58" i="50"/>
  <c r="AY58" i="50"/>
  <c r="AX58" i="50"/>
  <c r="AW58" i="50"/>
  <c r="AV58" i="50"/>
  <c r="AU58" i="50"/>
  <c r="AT58" i="50"/>
  <c r="AS58" i="50"/>
  <c r="BG57" i="50"/>
  <c r="BF57" i="50"/>
  <c r="BE57" i="50"/>
  <c r="BD57" i="50"/>
  <c r="BC57" i="50"/>
  <c r="BB57" i="50"/>
  <c r="BA57" i="50"/>
  <c r="AZ57" i="50"/>
  <c r="AY57" i="50"/>
  <c r="AX57" i="50"/>
  <c r="AW57" i="50"/>
  <c r="AV57" i="50"/>
  <c r="AU57" i="50"/>
  <c r="AT57" i="50"/>
  <c r="AS57" i="50"/>
  <c r="BG56" i="50"/>
  <c r="BF56" i="50"/>
  <c r="BE56" i="50"/>
  <c r="BD56" i="50"/>
  <c r="BC56" i="50"/>
  <c r="BB56" i="50"/>
  <c r="BA56" i="50"/>
  <c r="AZ56" i="50"/>
  <c r="AY56" i="50"/>
  <c r="AX56" i="50"/>
  <c r="AW56" i="50"/>
  <c r="AV56" i="50"/>
  <c r="AU56" i="50"/>
  <c r="AT56" i="50"/>
  <c r="AS56" i="50"/>
  <c r="BG55" i="50"/>
  <c r="BF55" i="50"/>
  <c r="BE55" i="50"/>
  <c r="BD55" i="50"/>
  <c r="BC55" i="50"/>
  <c r="BB55" i="50"/>
  <c r="BA55" i="50"/>
  <c r="AZ55" i="50"/>
  <c r="AY55" i="50"/>
  <c r="AX55" i="50"/>
  <c r="AW55" i="50"/>
  <c r="AV55" i="50"/>
  <c r="AU55" i="50"/>
  <c r="AT55" i="50"/>
  <c r="AS55" i="50"/>
  <c r="BG54" i="50"/>
  <c r="BF54" i="50"/>
  <c r="BE54" i="50"/>
  <c r="BD54" i="50"/>
  <c r="BC54" i="50"/>
  <c r="BB54" i="50"/>
  <c r="BA54" i="50"/>
  <c r="AZ54" i="50"/>
  <c r="AY54" i="50"/>
  <c r="AX54" i="50"/>
  <c r="AW54" i="50"/>
  <c r="AV54" i="50"/>
  <c r="AU54" i="50"/>
  <c r="AT54" i="50"/>
  <c r="AS54" i="50"/>
  <c r="BG53" i="50"/>
  <c r="BF53" i="50"/>
  <c r="BE53" i="50"/>
  <c r="BD53" i="50"/>
  <c r="BC53" i="50"/>
  <c r="BB53" i="50"/>
  <c r="BA53" i="50"/>
  <c r="AZ53" i="50"/>
  <c r="AY53" i="50"/>
  <c r="AX53" i="50"/>
  <c r="AW53" i="50"/>
  <c r="AV53" i="50"/>
  <c r="AU53" i="50"/>
  <c r="AT53" i="50"/>
  <c r="AS53" i="50"/>
  <c r="BG52" i="50"/>
  <c r="BF52" i="50"/>
  <c r="BE52" i="50"/>
  <c r="BD52" i="50"/>
  <c r="BC52" i="50"/>
  <c r="BB52" i="50"/>
  <c r="BA52" i="50"/>
  <c r="AZ52" i="50"/>
  <c r="AY52" i="50"/>
  <c r="AX52" i="50"/>
  <c r="AW52" i="50"/>
  <c r="AV52" i="50"/>
  <c r="AU52" i="50"/>
  <c r="AT52" i="50"/>
  <c r="AS52" i="50"/>
  <c r="BG51" i="50"/>
  <c r="BF51" i="50"/>
  <c r="BE51" i="50"/>
  <c r="BD51" i="50"/>
  <c r="BC51" i="50"/>
  <c r="BB51" i="50"/>
  <c r="BA51" i="50"/>
  <c r="AZ51" i="50"/>
  <c r="AY51" i="50"/>
  <c r="AX51" i="50"/>
  <c r="AW51" i="50"/>
  <c r="AV51" i="50"/>
  <c r="AU51" i="50"/>
  <c r="AT51" i="50"/>
  <c r="AS51" i="50"/>
  <c r="BG50" i="50"/>
  <c r="BF50" i="50"/>
  <c r="BE50" i="50"/>
  <c r="BD50" i="50"/>
  <c r="BC50" i="50"/>
  <c r="BB50" i="50"/>
  <c r="BA50" i="50"/>
  <c r="AZ50" i="50"/>
  <c r="AY50" i="50"/>
  <c r="AX50" i="50"/>
  <c r="AW50" i="50"/>
  <c r="AV50" i="50"/>
  <c r="AU50" i="50"/>
  <c r="AT50" i="50"/>
  <c r="AS50" i="50"/>
  <c r="BG49" i="50"/>
  <c r="BF49" i="50"/>
  <c r="BE49" i="50"/>
  <c r="BD49" i="50"/>
  <c r="BC49" i="50"/>
  <c r="BB49" i="50"/>
  <c r="BA49" i="50"/>
  <c r="AZ49" i="50"/>
  <c r="AY49" i="50"/>
  <c r="AX49" i="50"/>
  <c r="AW49" i="50"/>
  <c r="AV49" i="50"/>
  <c r="AU49" i="50"/>
  <c r="AT49" i="50"/>
  <c r="AS49" i="50"/>
  <c r="BG48" i="50"/>
  <c r="BF48" i="50"/>
  <c r="BE48" i="50"/>
  <c r="BD48" i="50"/>
  <c r="BC48" i="50"/>
  <c r="BB48" i="50"/>
  <c r="BA48" i="50"/>
  <c r="AZ48" i="50"/>
  <c r="AY48" i="50"/>
  <c r="AX48" i="50"/>
  <c r="AW48" i="50"/>
  <c r="AV48" i="50"/>
  <c r="AU48" i="50"/>
  <c r="AT48" i="50"/>
  <c r="AS48" i="50"/>
  <c r="BG47" i="50"/>
  <c r="BF47" i="50"/>
  <c r="BE47" i="50"/>
  <c r="BD47" i="50"/>
  <c r="BC47" i="50"/>
  <c r="BB47" i="50"/>
  <c r="BA47" i="50"/>
  <c r="AZ47" i="50"/>
  <c r="AY47" i="50"/>
  <c r="AX47" i="50"/>
  <c r="AW47" i="50"/>
  <c r="AV47" i="50"/>
  <c r="AU47" i="50"/>
  <c r="AT47" i="50"/>
  <c r="AS47" i="50"/>
  <c r="BG46" i="50"/>
  <c r="BF46" i="50"/>
  <c r="BE46" i="50"/>
  <c r="BD46" i="50"/>
  <c r="BC46" i="50"/>
  <c r="BB46" i="50"/>
  <c r="BA46" i="50"/>
  <c r="AZ46" i="50"/>
  <c r="AY46" i="50"/>
  <c r="AX46" i="50"/>
  <c r="AW46" i="50"/>
  <c r="AV46" i="50"/>
  <c r="AU46" i="50"/>
  <c r="AT46" i="50"/>
  <c r="AS46" i="50"/>
  <c r="BG45" i="50"/>
  <c r="BF45" i="50"/>
  <c r="BE45" i="50"/>
  <c r="BD45" i="50"/>
  <c r="BC45" i="50"/>
  <c r="BB45" i="50"/>
  <c r="BA45" i="50"/>
  <c r="AZ45" i="50"/>
  <c r="AY45" i="50"/>
  <c r="AX45" i="50"/>
  <c r="AW45" i="50"/>
  <c r="AV45" i="50"/>
  <c r="AU45" i="50"/>
  <c r="AT45" i="50"/>
  <c r="AS45" i="50"/>
  <c r="BG44" i="50"/>
  <c r="BF44" i="50"/>
  <c r="BE44" i="50"/>
  <c r="BD44" i="50"/>
  <c r="BC44" i="50"/>
  <c r="BB44" i="50"/>
  <c r="BA44" i="50"/>
  <c r="AZ44" i="50"/>
  <c r="AY44" i="50"/>
  <c r="AX44" i="50"/>
  <c r="AW44" i="50"/>
  <c r="AV44" i="50"/>
  <c r="AU44" i="50"/>
  <c r="AT44" i="50"/>
  <c r="AS44" i="50"/>
  <c r="BG43" i="50"/>
  <c r="BF43" i="50"/>
  <c r="BE43" i="50"/>
  <c r="BD43" i="50"/>
  <c r="BC43" i="50"/>
  <c r="BB43" i="50"/>
  <c r="BA43" i="50"/>
  <c r="AZ43" i="50"/>
  <c r="AY43" i="50"/>
  <c r="AX43" i="50"/>
  <c r="AW43" i="50"/>
  <c r="AV43" i="50"/>
  <c r="AU43" i="50"/>
  <c r="AT43" i="50"/>
  <c r="AS43" i="50"/>
  <c r="BG42" i="50"/>
  <c r="BF42" i="50"/>
  <c r="BE42" i="50"/>
  <c r="BD42" i="50"/>
  <c r="BC42" i="50"/>
  <c r="BB42" i="50"/>
  <c r="BA42" i="50"/>
  <c r="AZ42" i="50"/>
  <c r="AY42" i="50"/>
  <c r="AX42" i="50"/>
  <c r="AW42" i="50"/>
  <c r="AV42" i="50"/>
  <c r="AU42" i="50"/>
  <c r="AT42" i="50"/>
  <c r="AS42" i="50"/>
  <c r="BG41" i="50"/>
  <c r="BF41" i="50"/>
  <c r="BE41" i="50"/>
  <c r="BD41" i="50"/>
  <c r="BC41" i="50"/>
  <c r="BB41" i="50"/>
  <c r="BA41" i="50"/>
  <c r="AZ41" i="50"/>
  <c r="AY41" i="50"/>
  <c r="AX41" i="50"/>
  <c r="AW41" i="50"/>
  <c r="AV41" i="50"/>
  <c r="AU41" i="50"/>
  <c r="AT41" i="50"/>
  <c r="AS41" i="50"/>
  <c r="BG40" i="50"/>
  <c r="BF40" i="50"/>
  <c r="BE40" i="50"/>
  <c r="BD40" i="50"/>
  <c r="BC40" i="50"/>
  <c r="BB40" i="50"/>
  <c r="BA40" i="50"/>
  <c r="AZ40" i="50"/>
  <c r="AY40" i="50"/>
  <c r="AX40" i="50"/>
  <c r="AW40" i="50"/>
  <c r="AV40" i="50"/>
  <c r="AU40" i="50"/>
  <c r="AT40" i="50"/>
  <c r="AS40" i="50"/>
  <c r="BG39" i="50"/>
  <c r="BF39" i="50"/>
  <c r="BE39" i="50"/>
  <c r="BD39" i="50"/>
  <c r="BC39" i="50"/>
  <c r="BB39" i="50"/>
  <c r="BA39" i="50"/>
  <c r="AZ39" i="50"/>
  <c r="AY39" i="50"/>
  <c r="AX39" i="50"/>
  <c r="AW39" i="50"/>
  <c r="AV39" i="50"/>
  <c r="AU39" i="50"/>
  <c r="AT39" i="50"/>
  <c r="AS39" i="50"/>
  <c r="BG38" i="50"/>
  <c r="BF38" i="50"/>
  <c r="BE38" i="50"/>
  <c r="BD38" i="50"/>
  <c r="BC38" i="50"/>
  <c r="BB38" i="50"/>
  <c r="BA38" i="50"/>
  <c r="AZ38" i="50"/>
  <c r="AY38" i="50"/>
  <c r="AX38" i="50"/>
  <c r="AW38" i="50"/>
  <c r="AV38" i="50"/>
  <c r="AU38" i="50"/>
  <c r="AT38" i="50"/>
  <c r="AS38" i="50"/>
  <c r="BG37" i="50"/>
  <c r="BF37" i="50"/>
  <c r="BE37" i="50"/>
  <c r="BD37" i="50"/>
  <c r="BC37" i="50"/>
  <c r="BB37" i="50"/>
  <c r="BA37" i="50"/>
  <c r="AZ37" i="50"/>
  <c r="AY37" i="50"/>
  <c r="AX37" i="50"/>
  <c r="AW37" i="50"/>
  <c r="AV37" i="50"/>
  <c r="AU37" i="50"/>
  <c r="AT37" i="50"/>
  <c r="AS37" i="50"/>
  <c r="BG36" i="50"/>
  <c r="BF36" i="50"/>
  <c r="BE36" i="50"/>
  <c r="BD36" i="50"/>
  <c r="BC36" i="50"/>
  <c r="BB36" i="50"/>
  <c r="BA36" i="50"/>
  <c r="AZ36" i="50"/>
  <c r="AY36" i="50"/>
  <c r="AX36" i="50"/>
  <c r="AW36" i="50"/>
  <c r="AV36" i="50"/>
  <c r="AU36" i="50"/>
  <c r="AT36" i="50"/>
  <c r="AS36" i="50"/>
  <c r="BG35" i="50"/>
  <c r="BF35" i="50"/>
  <c r="BE35" i="50"/>
  <c r="BD35" i="50"/>
  <c r="BC35" i="50"/>
  <c r="BB35" i="50"/>
  <c r="BA35" i="50"/>
  <c r="AZ35" i="50"/>
  <c r="AY35" i="50"/>
  <c r="AX35" i="50"/>
  <c r="AW35" i="50"/>
  <c r="AV35" i="50"/>
  <c r="AU35" i="50"/>
  <c r="AT35" i="50"/>
  <c r="AS35" i="50"/>
  <c r="BG34" i="50"/>
  <c r="BF34" i="50"/>
  <c r="BE34" i="50"/>
  <c r="BD34" i="50"/>
  <c r="BC34" i="50"/>
  <c r="BB34" i="50"/>
  <c r="BA34" i="50"/>
  <c r="AZ34" i="50"/>
  <c r="AY34" i="50"/>
  <c r="AX34" i="50"/>
  <c r="AW34" i="50"/>
  <c r="AV34" i="50"/>
  <c r="AU34" i="50"/>
  <c r="AT34" i="50"/>
  <c r="AS34" i="50"/>
  <c r="BG33" i="50"/>
  <c r="BF33" i="50"/>
  <c r="BE33" i="50"/>
  <c r="BD33" i="50"/>
  <c r="BC33" i="50"/>
  <c r="BB33" i="50"/>
  <c r="BA33" i="50"/>
  <c r="AZ33" i="50"/>
  <c r="AY33" i="50"/>
  <c r="AX33" i="50"/>
  <c r="AW33" i="50"/>
  <c r="AV33" i="50"/>
  <c r="AU33" i="50"/>
  <c r="AT33" i="50"/>
  <c r="AS33" i="50"/>
  <c r="BG32" i="50"/>
  <c r="BF32" i="50"/>
  <c r="BE32" i="50"/>
  <c r="BD32" i="50"/>
  <c r="BC32" i="50"/>
  <c r="BB32" i="50"/>
  <c r="BA32" i="50"/>
  <c r="AZ32" i="50"/>
  <c r="AY32" i="50"/>
  <c r="AX32" i="50"/>
  <c r="AW32" i="50"/>
  <c r="AV32" i="50"/>
  <c r="AU32" i="50"/>
  <c r="AT32" i="50"/>
  <c r="AS32" i="50"/>
  <c r="BG31" i="50"/>
  <c r="BF31" i="50"/>
  <c r="BE31" i="50"/>
  <c r="BD31" i="50"/>
  <c r="BC31" i="50"/>
  <c r="BB31" i="50"/>
  <c r="BA31" i="50"/>
  <c r="AZ31" i="50"/>
  <c r="AY31" i="50"/>
  <c r="AX31" i="50"/>
  <c r="AW31" i="50"/>
  <c r="AV31" i="50"/>
  <c r="AU31" i="50"/>
  <c r="AT31" i="50"/>
  <c r="AS31" i="50"/>
  <c r="BG30" i="50"/>
  <c r="BF30" i="50"/>
  <c r="BE30" i="50"/>
  <c r="BD30" i="50"/>
  <c r="BC30" i="50"/>
  <c r="BB30" i="50"/>
  <c r="BA30" i="50"/>
  <c r="AZ30" i="50"/>
  <c r="AY30" i="50"/>
  <c r="AX30" i="50"/>
  <c r="AW30" i="50"/>
  <c r="AV30" i="50"/>
  <c r="AU30" i="50"/>
  <c r="AT30" i="50"/>
  <c r="AS30" i="50"/>
  <c r="BG29" i="50"/>
  <c r="BF29" i="50"/>
  <c r="BE29" i="50"/>
  <c r="BD29" i="50"/>
  <c r="BC29" i="50"/>
  <c r="BB29" i="50"/>
  <c r="BA29" i="50"/>
  <c r="AZ29" i="50"/>
  <c r="AY29" i="50"/>
  <c r="AX29" i="50"/>
  <c r="AW29" i="50"/>
  <c r="AV29" i="50"/>
  <c r="AU29" i="50"/>
  <c r="AT29" i="50"/>
  <c r="AS29" i="50"/>
  <c r="BG28" i="50"/>
  <c r="BF28" i="50"/>
  <c r="BE28" i="50"/>
  <c r="BD28" i="50"/>
  <c r="BC28" i="50"/>
  <c r="BB28" i="50"/>
  <c r="BA28" i="50"/>
  <c r="AZ28" i="50"/>
  <c r="AY28" i="50"/>
  <c r="AX28" i="50"/>
  <c r="AW28" i="50"/>
  <c r="AV28" i="50"/>
  <c r="AU28" i="50"/>
  <c r="AT28" i="50"/>
  <c r="AS28" i="50"/>
  <c r="BG27" i="50"/>
  <c r="BF27" i="50"/>
  <c r="BE27" i="50"/>
  <c r="BD27" i="50"/>
  <c r="BC27" i="50"/>
  <c r="BB27" i="50"/>
  <c r="BA27" i="50"/>
  <c r="AZ27" i="50"/>
  <c r="AY27" i="50"/>
  <c r="AX27" i="50"/>
  <c r="AW27" i="50"/>
  <c r="AV27" i="50"/>
  <c r="AU27" i="50"/>
  <c r="AT27" i="50"/>
  <c r="AS27" i="50"/>
  <c r="BG26" i="50"/>
  <c r="BF26" i="50"/>
  <c r="BE26" i="50"/>
  <c r="BD26" i="50"/>
  <c r="BC26" i="50"/>
  <c r="BB26" i="50"/>
  <c r="BA26" i="50"/>
  <c r="AZ26" i="50"/>
  <c r="AY26" i="50"/>
  <c r="AX26" i="50"/>
  <c r="AW26" i="50"/>
  <c r="AV26" i="50"/>
  <c r="AU26" i="50"/>
  <c r="AT26" i="50"/>
  <c r="AS26" i="50"/>
  <c r="H26" i="50"/>
  <c r="E26" i="50"/>
  <c r="C26" i="50"/>
  <c r="BG25" i="50"/>
  <c r="BF25" i="50"/>
  <c r="BE25" i="50"/>
  <c r="BD25" i="50"/>
  <c r="BC25" i="50"/>
  <c r="BB25" i="50"/>
  <c r="BA25" i="50"/>
  <c r="AZ25" i="50"/>
  <c r="AY25" i="50"/>
  <c r="AX25" i="50"/>
  <c r="AW25" i="50"/>
  <c r="AV25" i="50"/>
  <c r="AU25" i="50"/>
  <c r="AT25" i="50"/>
  <c r="AS25" i="50"/>
  <c r="E25" i="50"/>
  <c r="BG24" i="50"/>
  <c r="BF24" i="50"/>
  <c r="BE24" i="50"/>
  <c r="BD24" i="50"/>
  <c r="BC24" i="50"/>
  <c r="BB24" i="50"/>
  <c r="BA24" i="50"/>
  <c r="AZ24" i="50"/>
  <c r="AY24" i="50"/>
  <c r="AX24" i="50"/>
  <c r="AW24" i="50"/>
  <c r="AV24" i="50"/>
  <c r="AU24" i="50"/>
  <c r="AT24" i="50"/>
  <c r="AS24" i="50"/>
  <c r="BG23" i="50"/>
  <c r="BF23" i="50"/>
  <c r="BE23" i="50"/>
  <c r="BD23" i="50"/>
  <c r="BC23" i="50"/>
  <c r="BB23" i="50"/>
  <c r="BA23" i="50"/>
  <c r="AZ23" i="50"/>
  <c r="AY23" i="50"/>
  <c r="AX23" i="50"/>
  <c r="AW23" i="50"/>
  <c r="AV23" i="50"/>
  <c r="AU23" i="50"/>
  <c r="AT23" i="50"/>
  <c r="AS23" i="50"/>
  <c r="G23" i="50"/>
  <c r="G24" i="50" s="1"/>
  <c r="BG22" i="50"/>
  <c r="BF22" i="50"/>
  <c r="BE22" i="50"/>
  <c r="BD22" i="50"/>
  <c r="BC22" i="50"/>
  <c r="BB22" i="50"/>
  <c r="BA22" i="50"/>
  <c r="AZ22" i="50"/>
  <c r="AY22" i="50"/>
  <c r="AX22" i="50"/>
  <c r="AW22" i="50"/>
  <c r="AV22" i="50"/>
  <c r="AU22" i="50"/>
  <c r="AT22" i="50"/>
  <c r="AS22" i="50"/>
  <c r="BG21" i="50"/>
  <c r="BF21" i="50"/>
  <c r="BE21" i="50"/>
  <c r="BD21" i="50"/>
  <c r="BC21" i="50"/>
  <c r="BB21" i="50"/>
  <c r="BA21" i="50"/>
  <c r="AZ21" i="50"/>
  <c r="AY21" i="50"/>
  <c r="AX21" i="50"/>
  <c r="AW21" i="50"/>
  <c r="AV21" i="50"/>
  <c r="AU21" i="50"/>
  <c r="AT21" i="50"/>
  <c r="AS21" i="50"/>
  <c r="AN21" i="50"/>
  <c r="AM21" i="50"/>
  <c r="AL21" i="50"/>
  <c r="AK21" i="50"/>
  <c r="AJ21" i="50"/>
  <c r="AI21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BG20" i="50"/>
  <c r="BF20" i="50"/>
  <c r="BE20" i="50"/>
  <c r="BD20" i="50"/>
  <c r="BC20" i="50"/>
  <c r="BB20" i="50"/>
  <c r="BA20" i="50"/>
  <c r="AZ20" i="50"/>
  <c r="AY20" i="50"/>
  <c r="AX20" i="50"/>
  <c r="AW20" i="50"/>
  <c r="AV20" i="50"/>
  <c r="AU20" i="50"/>
  <c r="AT20" i="50"/>
  <c r="AS20" i="50"/>
  <c r="BG19" i="50"/>
  <c r="BF19" i="50"/>
  <c r="BE19" i="50"/>
  <c r="BD19" i="50"/>
  <c r="BC19" i="50"/>
  <c r="BB19" i="50"/>
  <c r="BA19" i="50"/>
  <c r="AZ19" i="50"/>
  <c r="AY19" i="50"/>
  <c r="AX19" i="50"/>
  <c r="AW19" i="50"/>
  <c r="AV19" i="50"/>
  <c r="AU19" i="50"/>
  <c r="AT19" i="50"/>
  <c r="AS19" i="50"/>
  <c r="BG18" i="50"/>
  <c r="BF18" i="50"/>
  <c r="BE18" i="50"/>
  <c r="BD18" i="50"/>
  <c r="BC18" i="50"/>
  <c r="BB18" i="50"/>
  <c r="BA18" i="50"/>
  <c r="AZ18" i="50"/>
  <c r="AY18" i="50"/>
  <c r="AX18" i="50"/>
  <c r="AW18" i="50"/>
  <c r="AV18" i="50"/>
  <c r="AU18" i="50"/>
  <c r="AT18" i="50"/>
  <c r="AS18" i="50"/>
  <c r="AK18" i="50"/>
  <c r="AH18" i="50"/>
  <c r="AE18" i="50"/>
  <c r="I18" i="50"/>
  <c r="D18" i="50"/>
  <c r="C25" i="50" s="1"/>
  <c r="BG17" i="50"/>
  <c r="BF17" i="50"/>
  <c r="BE17" i="50"/>
  <c r="BD17" i="50"/>
  <c r="BC17" i="50"/>
  <c r="BB17" i="50"/>
  <c r="BA17" i="50"/>
  <c r="AZ17" i="50"/>
  <c r="AY17" i="50"/>
  <c r="AX17" i="50"/>
  <c r="AW17" i="50"/>
  <c r="AV17" i="50"/>
  <c r="AU17" i="50"/>
  <c r="AT17" i="50"/>
  <c r="AS17" i="50"/>
  <c r="BG16" i="50"/>
  <c r="BF16" i="50"/>
  <c r="BE16" i="50"/>
  <c r="BD16" i="50"/>
  <c r="BC16" i="50"/>
  <c r="BB16" i="50"/>
  <c r="BA16" i="50"/>
  <c r="AZ16" i="50"/>
  <c r="AY16" i="50"/>
  <c r="AX16" i="50"/>
  <c r="AW16" i="50"/>
  <c r="AV16" i="50"/>
  <c r="AU16" i="50"/>
  <c r="AT16" i="50"/>
  <c r="AS16" i="50"/>
  <c r="AN16" i="50"/>
  <c r="AM16" i="50"/>
  <c r="AL16" i="50"/>
  <c r="AK16" i="50"/>
  <c r="AJ16" i="50"/>
  <c r="AI16" i="50"/>
  <c r="AH16" i="50"/>
  <c r="AG16" i="50"/>
  <c r="AF16" i="50"/>
  <c r="AE16" i="50"/>
  <c r="AD16" i="50"/>
  <c r="AC16" i="50"/>
  <c r="AB16" i="50"/>
  <c r="AA16" i="50"/>
  <c r="Z16" i="50"/>
  <c r="Y16" i="50"/>
  <c r="X16" i="50"/>
  <c r="W16" i="50"/>
  <c r="V16" i="50"/>
  <c r="U16" i="50"/>
  <c r="T16" i="50"/>
  <c r="S16" i="50"/>
  <c r="R16" i="50"/>
  <c r="Q16" i="50"/>
  <c r="P16" i="50"/>
  <c r="O16" i="50"/>
  <c r="N16" i="50"/>
  <c r="M16" i="50"/>
  <c r="L16" i="50"/>
  <c r="K16" i="50"/>
  <c r="J16" i="50"/>
  <c r="I16" i="50"/>
  <c r="H16" i="50"/>
  <c r="G16" i="50"/>
  <c r="BG15" i="50"/>
  <c r="BF15" i="50"/>
  <c r="BE15" i="50"/>
  <c r="BD15" i="50"/>
  <c r="BC15" i="50"/>
  <c r="BB15" i="50"/>
  <c r="BA15" i="50"/>
  <c r="AZ15" i="50"/>
  <c r="AY15" i="50"/>
  <c r="AX15" i="50"/>
  <c r="AW15" i="50"/>
  <c r="AV15" i="50"/>
  <c r="AU15" i="50"/>
  <c r="AT15" i="50"/>
  <c r="AS15" i="50"/>
  <c r="BG14" i="50"/>
  <c r="BF14" i="50"/>
  <c r="BE14" i="50"/>
  <c r="BD14" i="50"/>
  <c r="BC14" i="50"/>
  <c r="BB14" i="50"/>
  <c r="BA14" i="50"/>
  <c r="AZ14" i="50"/>
  <c r="AY14" i="50"/>
  <c r="AX14" i="50"/>
  <c r="AW14" i="50"/>
  <c r="AV14" i="50"/>
  <c r="AU14" i="50"/>
  <c r="AT14" i="50"/>
  <c r="AS14" i="50"/>
  <c r="AP14" i="50"/>
  <c r="E14" i="50"/>
  <c r="BG13" i="50"/>
  <c r="BF13" i="50"/>
  <c r="BE13" i="50"/>
  <c r="BD13" i="50"/>
  <c r="BC13" i="50"/>
  <c r="BB13" i="50"/>
  <c r="BA13" i="50"/>
  <c r="AZ13" i="50"/>
  <c r="AY13" i="50"/>
  <c r="AX13" i="50"/>
  <c r="AW13" i="50"/>
  <c r="AV13" i="50"/>
  <c r="AU13" i="50"/>
  <c r="AT13" i="50"/>
  <c r="AS13" i="50"/>
  <c r="E13" i="50"/>
  <c r="BG12" i="50"/>
  <c r="BF12" i="50"/>
  <c r="BE12" i="50"/>
  <c r="BD12" i="50"/>
  <c r="BC12" i="50"/>
  <c r="BB12" i="50"/>
  <c r="BA12" i="50"/>
  <c r="AZ12" i="50"/>
  <c r="AY12" i="50"/>
  <c r="AX12" i="50"/>
  <c r="AW12" i="50"/>
  <c r="AV12" i="50"/>
  <c r="AU12" i="50"/>
  <c r="AT12" i="50"/>
  <c r="AS12" i="50"/>
  <c r="E12" i="50"/>
  <c r="BG11" i="50"/>
  <c r="BF11" i="50"/>
  <c r="BE11" i="50"/>
  <c r="BD11" i="50"/>
  <c r="BC11" i="50"/>
  <c r="BB11" i="50"/>
  <c r="BA11" i="50"/>
  <c r="AZ11" i="50"/>
  <c r="AY11" i="50"/>
  <c r="AX11" i="50"/>
  <c r="AW11" i="50"/>
  <c r="AV11" i="50"/>
  <c r="AU11" i="50"/>
  <c r="AT11" i="50"/>
  <c r="AS11" i="50"/>
  <c r="AP11" i="50"/>
  <c r="E11" i="50"/>
  <c r="BG10" i="50"/>
  <c r="BF10" i="50"/>
  <c r="BE10" i="50"/>
  <c r="BD10" i="50"/>
  <c r="BC10" i="50"/>
  <c r="BB10" i="50"/>
  <c r="BA10" i="50"/>
  <c r="AZ10" i="50"/>
  <c r="AY10" i="50"/>
  <c r="AX10" i="50"/>
  <c r="AW10" i="50"/>
  <c r="AV10" i="50"/>
  <c r="AU10" i="50"/>
  <c r="AT10" i="50"/>
  <c r="AS10" i="50"/>
  <c r="E10" i="50"/>
  <c r="BG9" i="50"/>
  <c r="BF9" i="50"/>
  <c r="BE9" i="50"/>
  <c r="BD9" i="50"/>
  <c r="BC9" i="50"/>
  <c r="BB9" i="50"/>
  <c r="BA9" i="50"/>
  <c r="AZ9" i="50"/>
  <c r="AY9" i="50"/>
  <c r="AX9" i="50"/>
  <c r="AW9" i="50"/>
  <c r="AV9" i="50"/>
  <c r="AU9" i="50"/>
  <c r="AT9" i="50"/>
  <c r="AS9" i="50"/>
  <c r="AP9" i="50"/>
  <c r="E9" i="50"/>
  <c r="BG8" i="50"/>
  <c r="BF8" i="50"/>
  <c r="BE8" i="50"/>
  <c r="BD8" i="50"/>
  <c r="BC8" i="50"/>
  <c r="BB8" i="50"/>
  <c r="BA8" i="50"/>
  <c r="AZ8" i="50"/>
  <c r="AY8" i="50"/>
  <c r="AX8" i="50"/>
  <c r="AW8" i="50"/>
  <c r="AV8" i="50"/>
  <c r="AU8" i="50"/>
  <c r="AT8" i="50"/>
  <c r="AS8" i="50"/>
  <c r="E8" i="50"/>
  <c r="BG7" i="50"/>
  <c r="BF7" i="50"/>
  <c r="BE7" i="50"/>
  <c r="BD7" i="50"/>
  <c r="BC7" i="50"/>
  <c r="BB7" i="50"/>
  <c r="BA7" i="50"/>
  <c r="AZ7" i="50"/>
  <c r="AY7" i="50"/>
  <c r="AX7" i="50"/>
  <c r="AW7" i="50"/>
  <c r="AV7" i="50"/>
  <c r="AU7" i="50"/>
  <c r="AT7" i="50"/>
  <c r="AS7" i="50"/>
  <c r="AP7" i="50"/>
  <c r="E7" i="50"/>
  <c r="BG6" i="50"/>
  <c r="BF6" i="50"/>
  <c r="BE6" i="50"/>
  <c r="BD6" i="50"/>
  <c r="BC6" i="50"/>
  <c r="BB6" i="50"/>
  <c r="BA6" i="50"/>
  <c r="AZ6" i="50"/>
  <c r="AY6" i="50"/>
  <c r="AX6" i="50"/>
  <c r="AW6" i="50"/>
  <c r="AV6" i="50"/>
  <c r="AU6" i="50"/>
  <c r="AT6" i="50"/>
  <c r="AS6" i="50"/>
  <c r="E6" i="50"/>
  <c r="BG5" i="50"/>
  <c r="BF5" i="50"/>
  <c r="BE5" i="50"/>
  <c r="BD5" i="50"/>
  <c r="BC5" i="50"/>
  <c r="BB5" i="50"/>
  <c r="BA5" i="50"/>
  <c r="AZ5" i="50"/>
  <c r="AY5" i="50"/>
  <c r="AX5" i="50"/>
  <c r="AW5" i="50"/>
  <c r="AV5" i="50"/>
  <c r="AU5" i="50"/>
  <c r="AT5" i="50"/>
  <c r="AS5" i="50"/>
  <c r="E5" i="50"/>
  <c r="BG4" i="50"/>
  <c r="BF4" i="50"/>
  <c r="BE4" i="50"/>
  <c r="BD4" i="50"/>
  <c r="BC4" i="50"/>
  <c r="BB4" i="50"/>
  <c r="BA4" i="50"/>
  <c r="AZ4" i="50"/>
  <c r="AY4" i="50"/>
  <c r="AX4" i="50"/>
  <c r="AW4" i="50"/>
  <c r="AV4" i="50"/>
  <c r="AU4" i="50"/>
  <c r="AT4" i="50"/>
  <c r="AS4" i="50"/>
  <c r="AP4" i="50"/>
  <c r="E4" i="50"/>
  <c r="E18" i="50" s="1"/>
  <c r="BG3" i="50"/>
  <c r="BF3" i="50"/>
  <c r="BE3" i="50"/>
  <c r="BD3" i="50"/>
  <c r="BC3" i="50"/>
  <c r="BB3" i="50"/>
  <c r="BA3" i="50"/>
  <c r="AZ3" i="50"/>
  <c r="AY3" i="50"/>
  <c r="AX3" i="50"/>
  <c r="AW3" i="50"/>
  <c r="AV3" i="50"/>
  <c r="AU3" i="50"/>
  <c r="AT3" i="50"/>
  <c r="AS3" i="50"/>
  <c r="BG2" i="50"/>
  <c r="BF2" i="50"/>
  <c r="BE2" i="50"/>
  <c r="BD2" i="50"/>
  <c r="BC2" i="50"/>
  <c r="BB2" i="50"/>
  <c r="BA2" i="50"/>
  <c r="AZ2" i="50"/>
  <c r="AY2" i="50"/>
  <c r="AX2" i="50"/>
  <c r="AW2" i="50"/>
  <c r="AV2" i="50"/>
  <c r="AU2" i="50"/>
  <c r="AT2" i="50"/>
  <c r="AS2" i="50"/>
  <c r="BG62" i="49"/>
  <c r="BF62" i="49"/>
  <c r="BE62" i="49"/>
  <c r="BD62" i="49"/>
  <c r="BC62" i="49"/>
  <c r="BB62" i="49"/>
  <c r="BA62" i="49"/>
  <c r="AZ62" i="49"/>
  <c r="AY62" i="49"/>
  <c r="AX62" i="49"/>
  <c r="AW62" i="49"/>
  <c r="AV62" i="49"/>
  <c r="AU62" i="49"/>
  <c r="AT62" i="49"/>
  <c r="AS62" i="49"/>
  <c r="BG61" i="49"/>
  <c r="BF61" i="49"/>
  <c r="BE61" i="49"/>
  <c r="BD61" i="49"/>
  <c r="BC61" i="49"/>
  <c r="BB61" i="49"/>
  <c r="BA61" i="49"/>
  <c r="AZ61" i="49"/>
  <c r="AY61" i="49"/>
  <c r="AX61" i="49"/>
  <c r="AW61" i="49"/>
  <c r="AV61" i="49"/>
  <c r="AU61" i="49"/>
  <c r="AT61" i="49"/>
  <c r="AS61" i="49"/>
  <c r="BG60" i="49"/>
  <c r="BF60" i="49"/>
  <c r="BE60" i="49"/>
  <c r="BD60" i="49"/>
  <c r="BC60" i="49"/>
  <c r="BB60" i="49"/>
  <c r="BA60" i="49"/>
  <c r="AZ60" i="49"/>
  <c r="AY60" i="49"/>
  <c r="AX60" i="49"/>
  <c r="AW60" i="49"/>
  <c r="AV60" i="49"/>
  <c r="AU60" i="49"/>
  <c r="AT60" i="49"/>
  <c r="AS60" i="49"/>
  <c r="BG59" i="49"/>
  <c r="BF59" i="49"/>
  <c r="BE59" i="49"/>
  <c r="BD59" i="49"/>
  <c r="BC59" i="49"/>
  <c r="BB59" i="49"/>
  <c r="BA59" i="49"/>
  <c r="AZ59" i="49"/>
  <c r="AY59" i="49"/>
  <c r="AX59" i="49"/>
  <c r="AW59" i="49"/>
  <c r="AV59" i="49"/>
  <c r="AU59" i="49"/>
  <c r="AT59" i="49"/>
  <c r="AS59" i="49"/>
  <c r="BG58" i="49"/>
  <c r="BF58" i="49"/>
  <c r="BE58" i="49"/>
  <c r="BD58" i="49"/>
  <c r="BC58" i="49"/>
  <c r="BB58" i="49"/>
  <c r="BA58" i="49"/>
  <c r="AZ58" i="49"/>
  <c r="AY58" i="49"/>
  <c r="AX58" i="49"/>
  <c r="AW58" i="49"/>
  <c r="AV58" i="49"/>
  <c r="AU58" i="49"/>
  <c r="AT58" i="49"/>
  <c r="AS58" i="49"/>
  <c r="BG57" i="49"/>
  <c r="BF57" i="49"/>
  <c r="BE57" i="49"/>
  <c r="BD57" i="49"/>
  <c r="BC57" i="49"/>
  <c r="BB57" i="49"/>
  <c r="BA57" i="49"/>
  <c r="AZ57" i="49"/>
  <c r="AY57" i="49"/>
  <c r="AX57" i="49"/>
  <c r="AW57" i="49"/>
  <c r="AV57" i="49"/>
  <c r="AU57" i="49"/>
  <c r="AT57" i="49"/>
  <c r="AS57" i="49"/>
  <c r="BG56" i="49"/>
  <c r="BF56" i="49"/>
  <c r="BE56" i="49"/>
  <c r="BD56" i="49"/>
  <c r="BC56" i="49"/>
  <c r="BB56" i="49"/>
  <c r="BA56" i="49"/>
  <c r="AZ56" i="49"/>
  <c r="AY56" i="49"/>
  <c r="AX56" i="49"/>
  <c r="AW56" i="49"/>
  <c r="AV56" i="49"/>
  <c r="AU56" i="49"/>
  <c r="AT56" i="49"/>
  <c r="AS56" i="49"/>
  <c r="BG55" i="49"/>
  <c r="BF55" i="49"/>
  <c r="BE55" i="49"/>
  <c r="BD55" i="49"/>
  <c r="BC55" i="49"/>
  <c r="BB55" i="49"/>
  <c r="BA55" i="49"/>
  <c r="AZ55" i="49"/>
  <c r="AY55" i="49"/>
  <c r="AX55" i="49"/>
  <c r="AW55" i="49"/>
  <c r="AV55" i="49"/>
  <c r="AU55" i="49"/>
  <c r="AT55" i="49"/>
  <c r="AS55" i="49"/>
  <c r="BG54" i="49"/>
  <c r="BF54" i="49"/>
  <c r="BE54" i="49"/>
  <c r="BD54" i="49"/>
  <c r="BC54" i="49"/>
  <c r="BB54" i="49"/>
  <c r="BA54" i="49"/>
  <c r="AZ54" i="49"/>
  <c r="AY54" i="49"/>
  <c r="AX54" i="49"/>
  <c r="AW54" i="49"/>
  <c r="AV54" i="49"/>
  <c r="AU54" i="49"/>
  <c r="AT54" i="49"/>
  <c r="AS54" i="49"/>
  <c r="BG53" i="49"/>
  <c r="BF53" i="49"/>
  <c r="BE53" i="49"/>
  <c r="BD53" i="49"/>
  <c r="BC53" i="49"/>
  <c r="BB53" i="49"/>
  <c r="BA53" i="49"/>
  <c r="AZ53" i="49"/>
  <c r="AY53" i="49"/>
  <c r="AX53" i="49"/>
  <c r="AW53" i="49"/>
  <c r="AV53" i="49"/>
  <c r="AU53" i="49"/>
  <c r="AT53" i="49"/>
  <c r="AS53" i="49"/>
  <c r="BG52" i="49"/>
  <c r="BF52" i="49"/>
  <c r="BE52" i="49"/>
  <c r="BD52" i="49"/>
  <c r="BC52" i="49"/>
  <c r="BB52" i="49"/>
  <c r="BA52" i="49"/>
  <c r="AZ52" i="49"/>
  <c r="AY52" i="49"/>
  <c r="AX52" i="49"/>
  <c r="AW52" i="49"/>
  <c r="AV52" i="49"/>
  <c r="AU52" i="49"/>
  <c r="AT52" i="49"/>
  <c r="AS52" i="49"/>
  <c r="BG51" i="49"/>
  <c r="BF51" i="49"/>
  <c r="BE51" i="49"/>
  <c r="BD51" i="49"/>
  <c r="BC51" i="49"/>
  <c r="BB51" i="49"/>
  <c r="BA51" i="49"/>
  <c r="AZ51" i="49"/>
  <c r="AY51" i="49"/>
  <c r="AX51" i="49"/>
  <c r="AW51" i="49"/>
  <c r="AV51" i="49"/>
  <c r="AU51" i="49"/>
  <c r="AT51" i="49"/>
  <c r="AS51" i="49"/>
  <c r="BG50" i="49"/>
  <c r="BF50" i="49"/>
  <c r="BE50" i="49"/>
  <c r="BD50" i="49"/>
  <c r="BC50" i="49"/>
  <c r="BB50" i="49"/>
  <c r="BA50" i="49"/>
  <c r="AZ50" i="49"/>
  <c r="AY50" i="49"/>
  <c r="AX50" i="49"/>
  <c r="AW50" i="49"/>
  <c r="AV50" i="49"/>
  <c r="AU50" i="49"/>
  <c r="AT50" i="49"/>
  <c r="AS50" i="49"/>
  <c r="BG49" i="49"/>
  <c r="BF49" i="49"/>
  <c r="BE49" i="49"/>
  <c r="BD49" i="49"/>
  <c r="BC49" i="49"/>
  <c r="BB49" i="49"/>
  <c r="BA49" i="49"/>
  <c r="AZ49" i="49"/>
  <c r="AY49" i="49"/>
  <c r="AX49" i="49"/>
  <c r="AW49" i="49"/>
  <c r="AV49" i="49"/>
  <c r="AU49" i="49"/>
  <c r="AT49" i="49"/>
  <c r="AS49" i="49"/>
  <c r="BG48" i="49"/>
  <c r="BF48" i="49"/>
  <c r="BE48" i="49"/>
  <c r="BD48" i="49"/>
  <c r="BC48" i="49"/>
  <c r="BB48" i="49"/>
  <c r="BA48" i="49"/>
  <c r="AZ48" i="49"/>
  <c r="AY48" i="49"/>
  <c r="AX48" i="49"/>
  <c r="AW48" i="49"/>
  <c r="AV48" i="49"/>
  <c r="AU48" i="49"/>
  <c r="AT48" i="49"/>
  <c r="AS48" i="49"/>
  <c r="BG47" i="49"/>
  <c r="BF47" i="49"/>
  <c r="BE47" i="49"/>
  <c r="BD47" i="49"/>
  <c r="BC47" i="49"/>
  <c r="BB47" i="49"/>
  <c r="BA47" i="49"/>
  <c r="AZ47" i="49"/>
  <c r="AY47" i="49"/>
  <c r="AX47" i="49"/>
  <c r="AW47" i="49"/>
  <c r="AV47" i="49"/>
  <c r="AU47" i="49"/>
  <c r="AT47" i="49"/>
  <c r="AS47" i="49"/>
  <c r="BG46" i="49"/>
  <c r="BF46" i="49"/>
  <c r="BE46" i="49"/>
  <c r="BD46" i="49"/>
  <c r="BC46" i="49"/>
  <c r="BB46" i="49"/>
  <c r="BA46" i="49"/>
  <c r="AZ46" i="49"/>
  <c r="AY46" i="49"/>
  <c r="AX46" i="49"/>
  <c r="AW46" i="49"/>
  <c r="AV46" i="49"/>
  <c r="AU46" i="49"/>
  <c r="AT46" i="49"/>
  <c r="AS46" i="49"/>
  <c r="BG45" i="49"/>
  <c r="BF45" i="49"/>
  <c r="BE45" i="49"/>
  <c r="BD45" i="49"/>
  <c r="BC45" i="49"/>
  <c r="BB45" i="49"/>
  <c r="BA45" i="49"/>
  <c r="AZ45" i="49"/>
  <c r="AY45" i="49"/>
  <c r="AX45" i="49"/>
  <c r="AW45" i="49"/>
  <c r="AV45" i="49"/>
  <c r="AU45" i="49"/>
  <c r="AT45" i="49"/>
  <c r="AS45" i="49"/>
  <c r="BG44" i="49"/>
  <c r="BF44" i="49"/>
  <c r="BE44" i="49"/>
  <c r="BD44" i="49"/>
  <c r="BC44" i="49"/>
  <c r="BB44" i="49"/>
  <c r="BA44" i="49"/>
  <c r="AZ44" i="49"/>
  <c r="AY44" i="49"/>
  <c r="AX44" i="49"/>
  <c r="AW44" i="49"/>
  <c r="AV44" i="49"/>
  <c r="AU44" i="49"/>
  <c r="AT44" i="49"/>
  <c r="AS44" i="49"/>
  <c r="BG43" i="49"/>
  <c r="BF43" i="49"/>
  <c r="BE43" i="49"/>
  <c r="BD43" i="49"/>
  <c r="BC43" i="49"/>
  <c r="BB43" i="49"/>
  <c r="BA43" i="49"/>
  <c r="AZ43" i="49"/>
  <c r="AY43" i="49"/>
  <c r="AX43" i="49"/>
  <c r="AW43" i="49"/>
  <c r="AV43" i="49"/>
  <c r="AU43" i="49"/>
  <c r="AT43" i="49"/>
  <c r="AS43" i="49"/>
  <c r="BG42" i="49"/>
  <c r="BF42" i="49"/>
  <c r="BE42" i="49"/>
  <c r="BD42" i="49"/>
  <c r="BC42" i="49"/>
  <c r="BB42" i="49"/>
  <c r="BA42" i="49"/>
  <c r="AZ42" i="49"/>
  <c r="AY42" i="49"/>
  <c r="AX42" i="49"/>
  <c r="AW42" i="49"/>
  <c r="AV42" i="49"/>
  <c r="AU42" i="49"/>
  <c r="AT42" i="49"/>
  <c r="AS42" i="49"/>
  <c r="BG41" i="49"/>
  <c r="BF41" i="49"/>
  <c r="BE41" i="49"/>
  <c r="BD41" i="49"/>
  <c r="BC41" i="49"/>
  <c r="BB41" i="49"/>
  <c r="BA41" i="49"/>
  <c r="AZ41" i="49"/>
  <c r="AY41" i="49"/>
  <c r="AX41" i="49"/>
  <c r="AW41" i="49"/>
  <c r="AV41" i="49"/>
  <c r="AU41" i="49"/>
  <c r="AT41" i="49"/>
  <c r="AS41" i="49"/>
  <c r="BG40" i="49"/>
  <c r="BF40" i="49"/>
  <c r="BE40" i="49"/>
  <c r="BD40" i="49"/>
  <c r="BC40" i="49"/>
  <c r="BB40" i="49"/>
  <c r="BA40" i="49"/>
  <c r="AZ40" i="49"/>
  <c r="AY40" i="49"/>
  <c r="AX40" i="49"/>
  <c r="AW40" i="49"/>
  <c r="AV40" i="49"/>
  <c r="AU40" i="49"/>
  <c r="AT40" i="49"/>
  <c r="AS40" i="49"/>
  <c r="BG39" i="49"/>
  <c r="BF39" i="49"/>
  <c r="BE39" i="49"/>
  <c r="BD39" i="49"/>
  <c r="BC39" i="49"/>
  <c r="BB39" i="49"/>
  <c r="BA39" i="49"/>
  <c r="AZ39" i="49"/>
  <c r="AY39" i="49"/>
  <c r="AX39" i="49"/>
  <c r="AW39" i="49"/>
  <c r="AV39" i="49"/>
  <c r="AU39" i="49"/>
  <c r="AT39" i="49"/>
  <c r="AS39" i="49"/>
  <c r="BG38" i="49"/>
  <c r="BF38" i="49"/>
  <c r="BE38" i="49"/>
  <c r="BD38" i="49"/>
  <c r="BC38" i="49"/>
  <c r="BB38" i="49"/>
  <c r="BA38" i="49"/>
  <c r="AZ38" i="49"/>
  <c r="AY38" i="49"/>
  <c r="AX38" i="49"/>
  <c r="AW38" i="49"/>
  <c r="AV38" i="49"/>
  <c r="AU38" i="49"/>
  <c r="AT38" i="49"/>
  <c r="AS38" i="49"/>
  <c r="BG37" i="49"/>
  <c r="BF37" i="49"/>
  <c r="BE37" i="49"/>
  <c r="BD37" i="49"/>
  <c r="BC37" i="49"/>
  <c r="BB37" i="49"/>
  <c r="BA37" i="49"/>
  <c r="AZ37" i="49"/>
  <c r="AY37" i="49"/>
  <c r="AX37" i="49"/>
  <c r="AW37" i="49"/>
  <c r="AV37" i="49"/>
  <c r="AU37" i="49"/>
  <c r="AT37" i="49"/>
  <c r="AS37" i="49"/>
  <c r="BG36" i="49"/>
  <c r="BF36" i="49"/>
  <c r="BE36" i="49"/>
  <c r="BD36" i="49"/>
  <c r="BC36" i="49"/>
  <c r="BB36" i="49"/>
  <c r="BA36" i="49"/>
  <c r="AZ36" i="49"/>
  <c r="AY36" i="49"/>
  <c r="AX36" i="49"/>
  <c r="AW36" i="49"/>
  <c r="AV36" i="49"/>
  <c r="AU36" i="49"/>
  <c r="AT36" i="49"/>
  <c r="AS36" i="49"/>
  <c r="BG35" i="49"/>
  <c r="BF35" i="49"/>
  <c r="BE35" i="49"/>
  <c r="BD35" i="49"/>
  <c r="BC35" i="49"/>
  <c r="BB35" i="49"/>
  <c r="BA35" i="49"/>
  <c r="AZ35" i="49"/>
  <c r="AY35" i="49"/>
  <c r="AX35" i="49"/>
  <c r="AW35" i="49"/>
  <c r="AV35" i="49"/>
  <c r="AU35" i="49"/>
  <c r="AT35" i="49"/>
  <c r="AS35" i="49"/>
  <c r="BG34" i="49"/>
  <c r="BF34" i="49"/>
  <c r="BE34" i="49"/>
  <c r="BD34" i="49"/>
  <c r="BC34" i="49"/>
  <c r="BB34" i="49"/>
  <c r="BA34" i="49"/>
  <c r="AZ34" i="49"/>
  <c r="AY34" i="49"/>
  <c r="AX34" i="49"/>
  <c r="AW34" i="49"/>
  <c r="AV34" i="49"/>
  <c r="AU34" i="49"/>
  <c r="AT34" i="49"/>
  <c r="AS34" i="49"/>
  <c r="BG33" i="49"/>
  <c r="BF33" i="49"/>
  <c r="BE33" i="49"/>
  <c r="BD33" i="49"/>
  <c r="BC33" i="49"/>
  <c r="BB33" i="49"/>
  <c r="BA33" i="49"/>
  <c r="AZ33" i="49"/>
  <c r="AY33" i="49"/>
  <c r="AX33" i="49"/>
  <c r="AW33" i="49"/>
  <c r="AV33" i="49"/>
  <c r="AU33" i="49"/>
  <c r="AT33" i="49"/>
  <c r="AS33" i="49"/>
  <c r="BG32" i="49"/>
  <c r="BF32" i="49"/>
  <c r="BE32" i="49"/>
  <c r="BD32" i="49"/>
  <c r="BC32" i="49"/>
  <c r="BB32" i="49"/>
  <c r="BA32" i="49"/>
  <c r="AZ32" i="49"/>
  <c r="AY32" i="49"/>
  <c r="AX32" i="49"/>
  <c r="AW32" i="49"/>
  <c r="AV32" i="49"/>
  <c r="AU32" i="49"/>
  <c r="AT32" i="49"/>
  <c r="AS32" i="49"/>
  <c r="BG31" i="49"/>
  <c r="BF31" i="49"/>
  <c r="BE31" i="49"/>
  <c r="BD31" i="49"/>
  <c r="BC31" i="49"/>
  <c r="BB31" i="49"/>
  <c r="BA31" i="49"/>
  <c r="AZ31" i="49"/>
  <c r="AY31" i="49"/>
  <c r="AX31" i="49"/>
  <c r="AW31" i="49"/>
  <c r="AV31" i="49"/>
  <c r="AU31" i="49"/>
  <c r="AT31" i="49"/>
  <c r="AS31" i="49"/>
  <c r="BG30" i="49"/>
  <c r="BF30" i="49"/>
  <c r="BE30" i="49"/>
  <c r="BD30" i="49"/>
  <c r="BC30" i="49"/>
  <c r="BB30" i="49"/>
  <c r="BA30" i="49"/>
  <c r="AZ30" i="49"/>
  <c r="AY30" i="49"/>
  <c r="AX30" i="49"/>
  <c r="AW30" i="49"/>
  <c r="AV30" i="49"/>
  <c r="AU30" i="49"/>
  <c r="AT30" i="49"/>
  <c r="AS30" i="49"/>
  <c r="BG29" i="49"/>
  <c r="BF29" i="49"/>
  <c r="BE29" i="49"/>
  <c r="BD29" i="49"/>
  <c r="BC29" i="49"/>
  <c r="BB29" i="49"/>
  <c r="BA29" i="49"/>
  <c r="AZ29" i="49"/>
  <c r="AY29" i="49"/>
  <c r="AX29" i="49"/>
  <c r="AW29" i="49"/>
  <c r="AV29" i="49"/>
  <c r="AU29" i="49"/>
  <c r="AT29" i="49"/>
  <c r="AS29" i="49"/>
  <c r="BG28" i="49"/>
  <c r="BF28" i="49"/>
  <c r="BE28" i="49"/>
  <c r="BD28" i="49"/>
  <c r="BC28" i="49"/>
  <c r="BB28" i="49"/>
  <c r="BA28" i="49"/>
  <c r="AZ28" i="49"/>
  <c r="AY28" i="49"/>
  <c r="AX28" i="49"/>
  <c r="AW28" i="49"/>
  <c r="AV28" i="49"/>
  <c r="AU28" i="49"/>
  <c r="AT28" i="49"/>
  <c r="AS28" i="49"/>
  <c r="BG27" i="49"/>
  <c r="BF27" i="49"/>
  <c r="BE27" i="49"/>
  <c r="BD27" i="49"/>
  <c r="BC27" i="49"/>
  <c r="BB27" i="49"/>
  <c r="BA27" i="49"/>
  <c r="AZ27" i="49"/>
  <c r="AY27" i="49"/>
  <c r="AX27" i="49"/>
  <c r="AW27" i="49"/>
  <c r="AV27" i="49"/>
  <c r="AU27" i="49"/>
  <c r="AT27" i="49"/>
  <c r="AS27" i="49"/>
  <c r="BG26" i="49"/>
  <c r="BF26" i="49"/>
  <c r="BE26" i="49"/>
  <c r="BD26" i="49"/>
  <c r="BC26" i="49"/>
  <c r="BB26" i="49"/>
  <c r="BA26" i="49"/>
  <c r="AZ26" i="49"/>
  <c r="AY26" i="49"/>
  <c r="AX26" i="49"/>
  <c r="AW26" i="49"/>
  <c r="AV26" i="49"/>
  <c r="AU26" i="49"/>
  <c r="AT26" i="49"/>
  <c r="AS26" i="49"/>
  <c r="H26" i="49"/>
  <c r="E26" i="49"/>
  <c r="C26" i="49"/>
  <c r="BG25" i="49"/>
  <c r="BF25" i="49"/>
  <c r="BE25" i="49"/>
  <c r="BD25" i="49"/>
  <c r="BC25" i="49"/>
  <c r="BB25" i="49"/>
  <c r="BA25" i="49"/>
  <c r="AZ25" i="49"/>
  <c r="AY25" i="49"/>
  <c r="AX25" i="49"/>
  <c r="AW25" i="49"/>
  <c r="AV25" i="49"/>
  <c r="AU25" i="49"/>
  <c r="AT25" i="49"/>
  <c r="AS25" i="49"/>
  <c r="E25" i="49"/>
  <c r="BG24" i="49"/>
  <c r="BF24" i="49"/>
  <c r="BE24" i="49"/>
  <c r="BD24" i="49"/>
  <c r="BC24" i="49"/>
  <c r="BB24" i="49"/>
  <c r="BA24" i="49"/>
  <c r="AZ24" i="49"/>
  <c r="AY24" i="49"/>
  <c r="AX24" i="49"/>
  <c r="AW24" i="49"/>
  <c r="AV24" i="49"/>
  <c r="AU24" i="49"/>
  <c r="AT24" i="49"/>
  <c r="AS24" i="49"/>
  <c r="BG23" i="49"/>
  <c r="BF23" i="49"/>
  <c r="BE23" i="49"/>
  <c r="BD23" i="49"/>
  <c r="BC23" i="49"/>
  <c r="BB23" i="49"/>
  <c r="BA23" i="49"/>
  <c r="AZ23" i="49"/>
  <c r="AY23" i="49"/>
  <c r="AX23" i="49"/>
  <c r="AW23" i="49"/>
  <c r="AV23" i="49"/>
  <c r="AU23" i="49"/>
  <c r="AT23" i="49"/>
  <c r="AS23" i="49"/>
  <c r="G23" i="49"/>
  <c r="G24" i="49" s="1"/>
  <c r="BG22" i="49"/>
  <c r="BF22" i="49"/>
  <c r="BE22" i="49"/>
  <c r="BD22" i="49"/>
  <c r="BC22" i="49"/>
  <c r="BB22" i="49"/>
  <c r="BA22" i="49"/>
  <c r="AZ22" i="49"/>
  <c r="AY22" i="49"/>
  <c r="AX22" i="49"/>
  <c r="AW22" i="49"/>
  <c r="AV22" i="49"/>
  <c r="AU22" i="49"/>
  <c r="AT22" i="49"/>
  <c r="AS22" i="49"/>
  <c r="BG21" i="49"/>
  <c r="BF21" i="49"/>
  <c r="BE21" i="49"/>
  <c r="BD21" i="49"/>
  <c r="BC21" i="49"/>
  <c r="BB21" i="49"/>
  <c r="BA21" i="49"/>
  <c r="AZ21" i="49"/>
  <c r="AY21" i="49"/>
  <c r="AX21" i="49"/>
  <c r="AW21" i="49"/>
  <c r="AV21" i="49"/>
  <c r="AU21" i="49"/>
  <c r="AT21" i="49"/>
  <c r="AS21" i="49"/>
  <c r="AN21" i="49"/>
  <c r="AM21" i="49"/>
  <c r="AL21" i="49"/>
  <c r="AK21" i="49"/>
  <c r="AJ21" i="49"/>
  <c r="AI21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BG20" i="49"/>
  <c r="BF20" i="49"/>
  <c r="BE20" i="49"/>
  <c r="BD20" i="49"/>
  <c r="BC20" i="49"/>
  <c r="BB20" i="49"/>
  <c r="BA20" i="49"/>
  <c r="AZ20" i="49"/>
  <c r="AY20" i="49"/>
  <c r="AX20" i="49"/>
  <c r="AW20" i="49"/>
  <c r="AV20" i="49"/>
  <c r="AU20" i="49"/>
  <c r="AT20" i="49"/>
  <c r="AS20" i="49"/>
  <c r="BG19" i="49"/>
  <c r="BF19" i="49"/>
  <c r="BE19" i="49"/>
  <c r="BD19" i="49"/>
  <c r="BC19" i="49"/>
  <c r="BB19" i="49"/>
  <c r="BA19" i="49"/>
  <c r="AZ19" i="49"/>
  <c r="AY19" i="49"/>
  <c r="AX19" i="49"/>
  <c r="AW19" i="49"/>
  <c r="AV19" i="49"/>
  <c r="AU19" i="49"/>
  <c r="AT19" i="49"/>
  <c r="AS19" i="49"/>
  <c r="BG18" i="49"/>
  <c r="BF18" i="49"/>
  <c r="BE18" i="49"/>
  <c r="BD18" i="49"/>
  <c r="BC18" i="49"/>
  <c r="BB18" i="49"/>
  <c r="BA18" i="49"/>
  <c r="AZ18" i="49"/>
  <c r="AY18" i="49"/>
  <c r="AX18" i="49"/>
  <c r="AW18" i="49"/>
  <c r="AV18" i="49"/>
  <c r="AU18" i="49"/>
  <c r="AT18" i="49"/>
  <c r="AS18" i="49"/>
  <c r="AK18" i="49"/>
  <c r="AH18" i="49"/>
  <c r="AE18" i="49"/>
  <c r="I18" i="49"/>
  <c r="D18" i="49"/>
  <c r="C25" i="49" s="1"/>
  <c r="BG17" i="49"/>
  <c r="BF17" i="49"/>
  <c r="BE17" i="49"/>
  <c r="BD17" i="49"/>
  <c r="BC17" i="49"/>
  <c r="BB17" i="49"/>
  <c r="BA17" i="49"/>
  <c r="AZ17" i="49"/>
  <c r="AY17" i="49"/>
  <c r="AX17" i="49"/>
  <c r="AW17" i="49"/>
  <c r="AV17" i="49"/>
  <c r="AU17" i="49"/>
  <c r="AT17" i="49"/>
  <c r="AS17" i="49"/>
  <c r="BG16" i="49"/>
  <c r="BF16" i="49"/>
  <c r="BE16" i="49"/>
  <c r="BD16" i="49"/>
  <c r="BC16" i="49"/>
  <c r="BB16" i="49"/>
  <c r="BA16" i="49"/>
  <c r="AZ16" i="49"/>
  <c r="AY16" i="49"/>
  <c r="AX16" i="49"/>
  <c r="AW16" i="49"/>
  <c r="AV16" i="49"/>
  <c r="AU16" i="49"/>
  <c r="AT16" i="49"/>
  <c r="AS16" i="49"/>
  <c r="AN16" i="49"/>
  <c r="AM16" i="49"/>
  <c r="AL16" i="49"/>
  <c r="AK16" i="49"/>
  <c r="AJ16" i="49"/>
  <c r="AI16" i="49"/>
  <c r="AH16" i="49"/>
  <c r="AG16" i="49"/>
  <c r="AF16" i="49"/>
  <c r="AE16" i="49"/>
  <c r="AD16" i="49"/>
  <c r="AC16" i="49"/>
  <c r="AB16" i="49"/>
  <c r="AA16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N16" i="49"/>
  <c r="M16" i="49"/>
  <c r="L16" i="49"/>
  <c r="K16" i="49"/>
  <c r="J16" i="49"/>
  <c r="I16" i="49"/>
  <c r="H16" i="49"/>
  <c r="G16" i="49"/>
  <c r="BG15" i="49"/>
  <c r="BF15" i="49"/>
  <c r="BE15" i="49"/>
  <c r="BD15" i="49"/>
  <c r="BC15" i="49"/>
  <c r="BB15" i="49"/>
  <c r="BA15" i="49"/>
  <c r="AZ15" i="49"/>
  <c r="AY15" i="49"/>
  <c r="AX15" i="49"/>
  <c r="AW15" i="49"/>
  <c r="AV15" i="49"/>
  <c r="AU15" i="49"/>
  <c r="AT15" i="49"/>
  <c r="AS15" i="49"/>
  <c r="BG14" i="49"/>
  <c r="BF14" i="49"/>
  <c r="BE14" i="49"/>
  <c r="BD14" i="49"/>
  <c r="BC14" i="49"/>
  <c r="BB14" i="49"/>
  <c r="BA14" i="49"/>
  <c r="AZ14" i="49"/>
  <c r="AY14" i="49"/>
  <c r="AX14" i="49"/>
  <c r="AW14" i="49"/>
  <c r="AV14" i="49"/>
  <c r="AU14" i="49"/>
  <c r="AT14" i="49"/>
  <c r="AS14" i="49"/>
  <c r="AP14" i="49"/>
  <c r="E14" i="49"/>
  <c r="BG13" i="49"/>
  <c r="BF13" i="49"/>
  <c r="BE13" i="49"/>
  <c r="BD13" i="49"/>
  <c r="BC13" i="49"/>
  <c r="BB13" i="49"/>
  <c r="BA13" i="49"/>
  <c r="AZ13" i="49"/>
  <c r="AY13" i="49"/>
  <c r="AX13" i="49"/>
  <c r="AW13" i="49"/>
  <c r="AV13" i="49"/>
  <c r="AU13" i="49"/>
  <c r="AT13" i="49"/>
  <c r="AS13" i="49"/>
  <c r="E13" i="49"/>
  <c r="BG12" i="49"/>
  <c r="BF12" i="49"/>
  <c r="BE12" i="49"/>
  <c r="BD12" i="49"/>
  <c r="BC12" i="49"/>
  <c r="BB12" i="49"/>
  <c r="BA12" i="49"/>
  <c r="AZ12" i="49"/>
  <c r="AY12" i="49"/>
  <c r="AX12" i="49"/>
  <c r="AW12" i="49"/>
  <c r="AV12" i="49"/>
  <c r="AU12" i="49"/>
  <c r="AT12" i="49"/>
  <c r="AS12" i="49"/>
  <c r="E12" i="49"/>
  <c r="BG11" i="49"/>
  <c r="BF11" i="49"/>
  <c r="BE11" i="49"/>
  <c r="BD11" i="49"/>
  <c r="BC11" i="49"/>
  <c r="BB11" i="49"/>
  <c r="BA11" i="49"/>
  <c r="AZ11" i="49"/>
  <c r="AY11" i="49"/>
  <c r="AX11" i="49"/>
  <c r="AW11" i="49"/>
  <c r="AV11" i="49"/>
  <c r="AU11" i="49"/>
  <c r="AT11" i="49"/>
  <c r="AS11" i="49"/>
  <c r="AP11" i="49"/>
  <c r="E11" i="49"/>
  <c r="BG10" i="49"/>
  <c r="BF10" i="49"/>
  <c r="BE10" i="49"/>
  <c r="BD10" i="49"/>
  <c r="BC10" i="49"/>
  <c r="BB10" i="49"/>
  <c r="BA10" i="49"/>
  <c r="AZ10" i="49"/>
  <c r="AY10" i="49"/>
  <c r="AX10" i="49"/>
  <c r="AW10" i="49"/>
  <c r="AV10" i="49"/>
  <c r="AU10" i="49"/>
  <c r="AT10" i="49"/>
  <c r="AS10" i="49"/>
  <c r="E10" i="49"/>
  <c r="BG9" i="49"/>
  <c r="BF9" i="49"/>
  <c r="BE9" i="49"/>
  <c r="BD9" i="49"/>
  <c r="BC9" i="49"/>
  <c r="BB9" i="49"/>
  <c r="BA9" i="49"/>
  <c r="AZ9" i="49"/>
  <c r="AY9" i="49"/>
  <c r="AX9" i="49"/>
  <c r="AW9" i="49"/>
  <c r="AV9" i="49"/>
  <c r="AU9" i="49"/>
  <c r="AT9" i="49"/>
  <c r="AS9" i="49"/>
  <c r="AP9" i="49"/>
  <c r="E9" i="49"/>
  <c r="BG8" i="49"/>
  <c r="BF8" i="49"/>
  <c r="BE8" i="49"/>
  <c r="BD8" i="49"/>
  <c r="BC8" i="49"/>
  <c r="BB8" i="49"/>
  <c r="BA8" i="49"/>
  <c r="AZ8" i="49"/>
  <c r="AY8" i="49"/>
  <c r="AX8" i="49"/>
  <c r="AW8" i="49"/>
  <c r="AV8" i="49"/>
  <c r="AU8" i="49"/>
  <c r="AT8" i="49"/>
  <c r="AS8" i="49"/>
  <c r="E8" i="49"/>
  <c r="BG7" i="49"/>
  <c r="BF7" i="49"/>
  <c r="BE7" i="49"/>
  <c r="BD7" i="49"/>
  <c r="BC7" i="49"/>
  <c r="BB7" i="49"/>
  <c r="BA7" i="49"/>
  <c r="AZ7" i="49"/>
  <c r="AY7" i="49"/>
  <c r="AX7" i="49"/>
  <c r="AW7" i="49"/>
  <c r="AV7" i="49"/>
  <c r="AU7" i="49"/>
  <c r="AT7" i="49"/>
  <c r="AS7" i="49"/>
  <c r="AP7" i="49"/>
  <c r="E7" i="49"/>
  <c r="BG6" i="49"/>
  <c r="BF6" i="49"/>
  <c r="BE6" i="49"/>
  <c r="BD6" i="49"/>
  <c r="BC6" i="49"/>
  <c r="BB6" i="49"/>
  <c r="BA6" i="49"/>
  <c r="AZ6" i="49"/>
  <c r="AY6" i="49"/>
  <c r="AX6" i="49"/>
  <c r="AW6" i="49"/>
  <c r="AV6" i="49"/>
  <c r="AU6" i="49"/>
  <c r="AT6" i="49"/>
  <c r="AS6" i="49"/>
  <c r="E6" i="49"/>
  <c r="BG5" i="49"/>
  <c r="BF5" i="49"/>
  <c r="BE5" i="49"/>
  <c r="BD5" i="49"/>
  <c r="BC5" i="49"/>
  <c r="BB5" i="49"/>
  <c r="BA5" i="49"/>
  <c r="AZ5" i="49"/>
  <c r="AY5" i="49"/>
  <c r="AX5" i="49"/>
  <c r="AW5" i="49"/>
  <c r="AV5" i="49"/>
  <c r="AU5" i="49"/>
  <c r="AT5" i="49"/>
  <c r="AS5" i="49"/>
  <c r="E5" i="49"/>
  <c r="BG4" i="49"/>
  <c r="BF4" i="49"/>
  <c r="BE4" i="49"/>
  <c r="BD4" i="49"/>
  <c r="BC4" i="49"/>
  <c r="BB4" i="49"/>
  <c r="BA4" i="49"/>
  <c r="AZ4" i="49"/>
  <c r="AY4" i="49"/>
  <c r="AX4" i="49"/>
  <c r="AW4" i="49"/>
  <c r="AV4" i="49"/>
  <c r="AU4" i="49"/>
  <c r="AT4" i="49"/>
  <c r="AS4" i="49"/>
  <c r="AP4" i="49"/>
  <c r="E4" i="49"/>
  <c r="E18" i="49" s="1"/>
  <c r="BG3" i="49"/>
  <c r="BF3" i="49"/>
  <c r="BE3" i="49"/>
  <c r="BD3" i="49"/>
  <c r="BC3" i="49"/>
  <c r="BB3" i="49"/>
  <c r="BA3" i="49"/>
  <c r="AZ3" i="49"/>
  <c r="AY3" i="49"/>
  <c r="AX3" i="49"/>
  <c r="AW3" i="49"/>
  <c r="AV3" i="49"/>
  <c r="AU3" i="49"/>
  <c r="AT3" i="49"/>
  <c r="AS3" i="49"/>
  <c r="BG2" i="49"/>
  <c r="BF2" i="49"/>
  <c r="BE2" i="49"/>
  <c r="BD2" i="49"/>
  <c r="BC2" i="49"/>
  <c r="BB2" i="49"/>
  <c r="BA2" i="49"/>
  <c r="AZ2" i="49"/>
  <c r="AY2" i="49"/>
  <c r="AX2" i="49"/>
  <c r="AW2" i="49"/>
  <c r="AV2" i="49"/>
  <c r="AU2" i="49"/>
  <c r="AT2" i="49"/>
  <c r="AS2" i="49"/>
  <c r="BG62" i="48"/>
  <c r="BF62" i="48"/>
  <c r="BE62" i="48"/>
  <c r="BD62" i="48"/>
  <c r="BC62" i="48"/>
  <c r="BB62" i="48"/>
  <c r="BA62" i="48"/>
  <c r="AZ62" i="48"/>
  <c r="AY62" i="48"/>
  <c r="AX62" i="48"/>
  <c r="AW62" i="48"/>
  <c r="AV62" i="48"/>
  <c r="AU62" i="48"/>
  <c r="AT62" i="48"/>
  <c r="AS62" i="48"/>
  <c r="BG61" i="48"/>
  <c r="BF61" i="48"/>
  <c r="BE61" i="48"/>
  <c r="BD61" i="48"/>
  <c r="BC61" i="48"/>
  <c r="BB61" i="48"/>
  <c r="BA61" i="48"/>
  <c r="AZ61" i="48"/>
  <c r="AY61" i="48"/>
  <c r="AX61" i="48"/>
  <c r="AW61" i="48"/>
  <c r="AV61" i="48"/>
  <c r="AU61" i="48"/>
  <c r="AT61" i="48"/>
  <c r="AS61" i="48"/>
  <c r="BG60" i="48"/>
  <c r="BF60" i="48"/>
  <c r="BE60" i="48"/>
  <c r="BD60" i="48"/>
  <c r="BC60" i="48"/>
  <c r="BB60" i="48"/>
  <c r="BA60" i="48"/>
  <c r="AZ60" i="48"/>
  <c r="AY60" i="48"/>
  <c r="AX60" i="48"/>
  <c r="AW60" i="48"/>
  <c r="AV60" i="48"/>
  <c r="AU60" i="48"/>
  <c r="AT60" i="48"/>
  <c r="AS60" i="48"/>
  <c r="BG59" i="48"/>
  <c r="BF59" i="48"/>
  <c r="BE59" i="48"/>
  <c r="BD59" i="48"/>
  <c r="BC59" i="48"/>
  <c r="BB59" i="48"/>
  <c r="BA59" i="48"/>
  <c r="AZ59" i="48"/>
  <c r="AY59" i="48"/>
  <c r="AX59" i="48"/>
  <c r="AW59" i="48"/>
  <c r="AV59" i="48"/>
  <c r="AU59" i="48"/>
  <c r="AT59" i="48"/>
  <c r="AS59" i="48"/>
  <c r="BG58" i="48"/>
  <c r="BF58" i="48"/>
  <c r="BE58" i="48"/>
  <c r="BD58" i="48"/>
  <c r="BC58" i="48"/>
  <c r="BB58" i="48"/>
  <c r="BA58" i="48"/>
  <c r="AZ58" i="48"/>
  <c r="AY58" i="48"/>
  <c r="AX58" i="48"/>
  <c r="AW58" i="48"/>
  <c r="AV58" i="48"/>
  <c r="AU58" i="48"/>
  <c r="AT58" i="48"/>
  <c r="AS58" i="48"/>
  <c r="BG57" i="48"/>
  <c r="BF57" i="48"/>
  <c r="BE57" i="48"/>
  <c r="BD57" i="48"/>
  <c r="BC57" i="48"/>
  <c r="BB57" i="48"/>
  <c r="BA57" i="48"/>
  <c r="AZ57" i="48"/>
  <c r="AY57" i="48"/>
  <c r="AX57" i="48"/>
  <c r="AW57" i="48"/>
  <c r="AV57" i="48"/>
  <c r="AU57" i="48"/>
  <c r="AT57" i="48"/>
  <c r="AS57" i="48"/>
  <c r="BG56" i="48"/>
  <c r="BF56" i="48"/>
  <c r="BE56" i="48"/>
  <c r="BD56" i="48"/>
  <c r="BC56" i="48"/>
  <c r="BB56" i="48"/>
  <c r="BA56" i="48"/>
  <c r="AZ56" i="48"/>
  <c r="AY56" i="48"/>
  <c r="AX56" i="48"/>
  <c r="AW56" i="48"/>
  <c r="AV56" i="48"/>
  <c r="AU56" i="48"/>
  <c r="AT56" i="48"/>
  <c r="AS56" i="48"/>
  <c r="BG55" i="48"/>
  <c r="BF55" i="48"/>
  <c r="BE55" i="48"/>
  <c r="BD55" i="48"/>
  <c r="BC55" i="48"/>
  <c r="BB55" i="48"/>
  <c r="BA55" i="48"/>
  <c r="AZ55" i="48"/>
  <c r="AY55" i="48"/>
  <c r="AX55" i="48"/>
  <c r="AW55" i="48"/>
  <c r="AV55" i="48"/>
  <c r="AU55" i="48"/>
  <c r="AT55" i="48"/>
  <c r="AS55" i="48"/>
  <c r="BG54" i="48"/>
  <c r="BF54" i="48"/>
  <c r="BE54" i="48"/>
  <c r="BD54" i="48"/>
  <c r="BC54" i="48"/>
  <c r="BB54" i="48"/>
  <c r="BA54" i="48"/>
  <c r="AZ54" i="48"/>
  <c r="AY54" i="48"/>
  <c r="AX54" i="48"/>
  <c r="AW54" i="48"/>
  <c r="AV54" i="48"/>
  <c r="AU54" i="48"/>
  <c r="AT54" i="48"/>
  <c r="AS54" i="48"/>
  <c r="BG53" i="48"/>
  <c r="BF53" i="48"/>
  <c r="BE53" i="48"/>
  <c r="BD53" i="48"/>
  <c r="BC53" i="48"/>
  <c r="BB53" i="48"/>
  <c r="BA53" i="48"/>
  <c r="AZ53" i="48"/>
  <c r="AY53" i="48"/>
  <c r="AX53" i="48"/>
  <c r="AW53" i="48"/>
  <c r="AV53" i="48"/>
  <c r="AU53" i="48"/>
  <c r="AT53" i="48"/>
  <c r="AS53" i="48"/>
  <c r="BG52" i="48"/>
  <c r="BF52" i="48"/>
  <c r="BE52" i="48"/>
  <c r="BD52" i="48"/>
  <c r="BC52" i="48"/>
  <c r="BB52" i="48"/>
  <c r="BA52" i="48"/>
  <c r="AZ52" i="48"/>
  <c r="AY52" i="48"/>
  <c r="AX52" i="48"/>
  <c r="AW52" i="48"/>
  <c r="AV52" i="48"/>
  <c r="AU52" i="48"/>
  <c r="AT52" i="48"/>
  <c r="AS52" i="48"/>
  <c r="BG51" i="48"/>
  <c r="BF51" i="48"/>
  <c r="BE51" i="48"/>
  <c r="BD51" i="48"/>
  <c r="BC51" i="48"/>
  <c r="BB51" i="48"/>
  <c r="BA51" i="48"/>
  <c r="AZ51" i="48"/>
  <c r="AY51" i="48"/>
  <c r="AX51" i="48"/>
  <c r="AW51" i="48"/>
  <c r="AV51" i="48"/>
  <c r="AU51" i="48"/>
  <c r="AT51" i="48"/>
  <c r="AS51" i="48"/>
  <c r="BG50" i="48"/>
  <c r="BF50" i="48"/>
  <c r="BE50" i="48"/>
  <c r="BD50" i="48"/>
  <c r="BC50" i="48"/>
  <c r="BB50" i="48"/>
  <c r="BA50" i="48"/>
  <c r="AZ50" i="48"/>
  <c r="AY50" i="48"/>
  <c r="AX50" i="48"/>
  <c r="AW50" i="48"/>
  <c r="AV50" i="48"/>
  <c r="AU50" i="48"/>
  <c r="AT50" i="48"/>
  <c r="AS50" i="48"/>
  <c r="BG49" i="48"/>
  <c r="BF49" i="48"/>
  <c r="BE49" i="48"/>
  <c r="BD49" i="48"/>
  <c r="BC49" i="48"/>
  <c r="BB49" i="48"/>
  <c r="BA49" i="48"/>
  <c r="AZ49" i="48"/>
  <c r="AY49" i="48"/>
  <c r="AX49" i="48"/>
  <c r="AW49" i="48"/>
  <c r="AV49" i="48"/>
  <c r="AU49" i="48"/>
  <c r="AT49" i="48"/>
  <c r="AS49" i="48"/>
  <c r="BG48" i="48"/>
  <c r="BF48" i="48"/>
  <c r="BE48" i="48"/>
  <c r="BD48" i="48"/>
  <c r="BC48" i="48"/>
  <c r="BB48" i="48"/>
  <c r="BA48" i="48"/>
  <c r="AZ48" i="48"/>
  <c r="AY48" i="48"/>
  <c r="AX48" i="48"/>
  <c r="AW48" i="48"/>
  <c r="AV48" i="48"/>
  <c r="AU48" i="48"/>
  <c r="AT48" i="48"/>
  <c r="AS48" i="48"/>
  <c r="BG47" i="48"/>
  <c r="BF47" i="48"/>
  <c r="BE47" i="48"/>
  <c r="BD47" i="48"/>
  <c r="BC47" i="48"/>
  <c r="BB47" i="48"/>
  <c r="BA47" i="48"/>
  <c r="AZ47" i="48"/>
  <c r="AY47" i="48"/>
  <c r="AX47" i="48"/>
  <c r="AW47" i="48"/>
  <c r="AV47" i="48"/>
  <c r="AU47" i="48"/>
  <c r="AT47" i="48"/>
  <c r="AS47" i="48"/>
  <c r="BG46" i="48"/>
  <c r="BF46" i="48"/>
  <c r="BE46" i="48"/>
  <c r="BD46" i="48"/>
  <c r="BC46" i="48"/>
  <c r="BB46" i="48"/>
  <c r="BA46" i="48"/>
  <c r="AZ46" i="48"/>
  <c r="AY46" i="48"/>
  <c r="AX46" i="48"/>
  <c r="AW46" i="48"/>
  <c r="AV46" i="48"/>
  <c r="AU46" i="48"/>
  <c r="AT46" i="48"/>
  <c r="AS46" i="48"/>
  <c r="BG45" i="48"/>
  <c r="BF45" i="48"/>
  <c r="BE45" i="48"/>
  <c r="BD45" i="48"/>
  <c r="BC45" i="48"/>
  <c r="BB45" i="48"/>
  <c r="BA45" i="48"/>
  <c r="AZ45" i="48"/>
  <c r="AY45" i="48"/>
  <c r="AX45" i="48"/>
  <c r="AW45" i="48"/>
  <c r="AV45" i="48"/>
  <c r="AU45" i="48"/>
  <c r="AT45" i="48"/>
  <c r="AS45" i="48"/>
  <c r="BG44" i="48"/>
  <c r="BF44" i="48"/>
  <c r="BE44" i="48"/>
  <c r="BD44" i="48"/>
  <c r="BC44" i="48"/>
  <c r="BB44" i="48"/>
  <c r="BA44" i="48"/>
  <c r="AZ44" i="48"/>
  <c r="AY44" i="48"/>
  <c r="AX44" i="48"/>
  <c r="AW44" i="48"/>
  <c r="AV44" i="48"/>
  <c r="AU44" i="48"/>
  <c r="AT44" i="48"/>
  <c r="AS44" i="48"/>
  <c r="BG43" i="48"/>
  <c r="BF43" i="48"/>
  <c r="BE43" i="48"/>
  <c r="BD43" i="48"/>
  <c r="BC43" i="48"/>
  <c r="BB43" i="48"/>
  <c r="BA43" i="48"/>
  <c r="AZ43" i="48"/>
  <c r="AY43" i="48"/>
  <c r="AX43" i="48"/>
  <c r="AW43" i="48"/>
  <c r="AV43" i="48"/>
  <c r="AU43" i="48"/>
  <c r="AT43" i="48"/>
  <c r="AS43" i="48"/>
  <c r="BG42" i="48"/>
  <c r="BF42" i="48"/>
  <c r="BE42" i="48"/>
  <c r="BD42" i="48"/>
  <c r="BC42" i="48"/>
  <c r="BB42" i="48"/>
  <c r="BA42" i="48"/>
  <c r="AZ42" i="48"/>
  <c r="AY42" i="48"/>
  <c r="AX42" i="48"/>
  <c r="AW42" i="48"/>
  <c r="AV42" i="48"/>
  <c r="AU42" i="48"/>
  <c r="AT42" i="48"/>
  <c r="AS42" i="48"/>
  <c r="BG41" i="48"/>
  <c r="BF41" i="48"/>
  <c r="BE41" i="48"/>
  <c r="BD41" i="48"/>
  <c r="BC41" i="48"/>
  <c r="BB41" i="48"/>
  <c r="BA41" i="48"/>
  <c r="AZ41" i="48"/>
  <c r="AY41" i="48"/>
  <c r="AX41" i="48"/>
  <c r="AW41" i="48"/>
  <c r="AV41" i="48"/>
  <c r="AU41" i="48"/>
  <c r="AT41" i="48"/>
  <c r="AS41" i="48"/>
  <c r="BG40" i="48"/>
  <c r="BF40" i="48"/>
  <c r="BE40" i="48"/>
  <c r="BD40" i="48"/>
  <c r="BC40" i="48"/>
  <c r="BB40" i="48"/>
  <c r="BA40" i="48"/>
  <c r="AZ40" i="48"/>
  <c r="AY40" i="48"/>
  <c r="AX40" i="48"/>
  <c r="AW40" i="48"/>
  <c r="AV40" i="48"/>
  <c r="AU40" i="48"/>
  <c r="AT40" i="48"/>
  <c r="AS40" i="48"/>
  <c r="BG39" i="48"/>
  <c r="BF39" i="48"/>
  <c r="BE39" i="48"/>
  <c r="BD39" i="48"/>
  <c r="BC39" i="48"/>
  <c r="BB39" i="48"/>
  <c r="BA39" i="48"/>
  <c r="AZ39" i="48"/>
  <c r="AY39" i="48"/>
  <c r="AX39" i="48"/>
  <c r="AW39" i="48"/>
  <c r="AV39" i="48"/>
  <c r="AU39" i="48"/>
  <c r="AT39" i="48"/>
  <c r="AS39" i="48"/>
  <c r="BG38" i="48"/>
  <c r="BF38" i="48"/>
  <c r="BE38" i="48"/>
  <c r="BD38" i="48"/>
  <c r="BC38" i="48"/>
  <c r="BB38" i="48"/>
  <c r="BA38" i="48"/>
  <c r="AZ38" i="48"/>
  <c r="AY38" i="48"/>
  <c r="AX38" i="48"/>
  <c r="AW38" i="48"/>
  <c r="AV38" i="48"/>
  <c r="AU38" i="48"/>
  <c r="AT38" i="48"/>
  <c r="AS38" i="48"/>
  <c r="BG37" i="48"/>
  <c r="BF37" i="48"/>
  <c r="BE37" i="48"/>
  <c r="BD37" i="48"/>
  <c r="BC37" i="48"/>
  <c r="BB37" i="48"/>
  <c r="BA37" i="48"/>
  <c r="AZ37" i="48"/>
  <c r="AY37" i="48"/>
  <c r="AX37" i="48"/>
  <c r="AW37" i="48"/>
  <c r="AV37" i="48"/>
  <c r="AU37" i="48"/>
  <c r="AT37" i="48"/>
  <c r="AS37" i="48"/>
  <c r="BG36" i="48"/>
  <c r="BF36" i="48"/>
  <c r="BE36" i="48"/>
  <c r="BD36" i="48"/>
  <c r="BC36" i="48"/>
  <c r="BB36" i="48"/>
  <c r="BA36" i="48"/>
  <c r="AZ36" i="48"/>
  <c r="AY36" i="48"/>
  <c r="AX36" i="48"/>
  <c r="AW36" i="48"/>
  <c r="AV36" i="48"/>
  <c r="AU36" i="48"/>
  <c r="AT36" i="48"/>
  <c r="AS36" i="48"/>
  <c r="BG35" i="48"/>
  <c r="BF35" i="48"/>
  <c r="BE35" i="48"/>
  <c r="BD35" i="48"/>
  <c r="BC35" i="48"/>
  <c r="BB35" i="48"/>
  <c r="BA35" i="48"/>
  <c r="AZ35" i="48"/>
  <c r="AY35" i="48"/>
  <c r="AX35" i="48"/>
  <c r="AW35" i="48"/>
  <c r="AV35" i="48"/>
  <c r="AU35" i="48"/>
  <c r="AT35" i="48"/>
  <c r="AS35" i="48"/>
  <c r="BG34" i="48"/>
  <c r="BF34" i="48"/>
  <c r="BE34" i="48"/>
  <c r="BD34" i="48"/>
  <c r="BC34" i="48"/>
  <c r="BB34" i="48"/>
  <c r="BA34" i="48"/>
  <c r="AZ34" i="48"/>
  <c r="AY34" i="48"/>
  <c r="AX34" i="48"/>
  <c r="AW34" i="48"/>
  <c r="AV34" i="48"/>
  <c r="AU34" i="48"/>
  <c r="AT34" i="48"/>
  <c r="AS34" i="48"/>
  <c r="BG33" i="48"/>
  <c r="BF33" i="48"/>
  <c r="BE33" i="48"/>
  <c r="BD33" i="48"/>
  <c r="BC33" i="48"/>
  <c r="BB33" i="48"/>
  <c r="BA33" i="48"/>
  <c r="AZ33" i="48"/>
  <c r="AY33" i="48"/>
  <c r="AX33" i="48"/>
  <c r="AW33" i="48"/>
  <c r="AV33" i="48"/>
  <c r="AU33" i="48"/>
  <c r="AT33" i="48"/>
  <c r="AS33" i="48"/>
  <c r="BG32" i="48"/>
  <c r="BF32" i="48"/>
  <c r="BE32" i="48"/>
  <c r="BD32" i="48"/>
  <c r="BC32" i="48"/>
  <c r="BB32" i="48"/>
  <c r="BA32" i="48"/>
  <c r="AZ32" i="48"/>
  <c r="AY32" i="48"/>
  <c r="AX32" i="48"/>
  <c r="AW32" i="48"/>
  <c r="AV32" i="48"/>
  <c r="AU32" i="48"/>
  <c r="AT32" i="48"/>
  <c r="AS32" i="48"/>
  <c r="BG31" i="48"/>
  <c r="BF31" i="48"/>
  <c r="BE31" i="48"/>
  <c r="BD31" i="48"/>
  <c r="BC31" i="48"/>
  <c r="BB31" i="48"/>
  <c r="BA31" i="48"/>
  <c r="AZ31" i="48"/>
  <c r="AY31" i="48"/>
  <c r="AX31" i="48"/>
  <c r="AW31" i="48"/>
  <c r="AV31" i="48"/>
  <c r="AU31" i="48"/>
  <c r="AT31" i="48"/>
  <c r="AS31" i="48"/>
  <c r="BG30" i="48"/>
  <c r="BF30" i="48"/>
  <c r="BE30" i="48"/>
  <c r="BD30" i="48"/>
  <c r="BC30" i="48"/>
  <c r="BB30" i="48"/>
  <c r="BA30" i="48"/>
  <c r="AZ30" i="48"/>
  <c r="AY30" i="48"/>
  <c r="AX30" i="48"/>
  <c r="AW30" i="48"/>
  <c r="AV30" i="48"/>
  <c r="AU30" i="48"/>
  <c r="AT30" i="48"/>
  <c r="AS30" i="48"/>
  <c r="BG29" i="48"/>
  <c r="BF29" i="48"/>
  <c r="BE29" i="48"/>
  <c r="BD29" i="48"/>
  <c r="BC29" i="48"/>
  <c r="BB29" i="48"/>
  <c r="BA29" i="48"/>
  <c r="AZ29" i="48"/>
  <c r="AY29" i="48"/>
  <c r="AX29" i="48"/>
  <c r="AW29" i="48"/>
  <c r="AV29" i="48"/>
  <c r="AU29" i="48"/>
  <c r="AT29" i="48"/>
  <c r="AS29" i="48"/>
  <c r="BG28" i="48"/>
  <c r="BF28" i="48"/>
  <c r="BE28" i="48"/>
  <c r="BD28" i="48"/>
  <c r="BC28" i="48"/>
  <c r="BB28" i="48"/>
  <c r="BA28" i="48"/>
  <c r="AZ28" i="48"/>
  <c r="AY28" i="48"/>
  <c r="AX28" i="48"/>
  <c r="AW28" i="48"/>
  <c r="AV28" i="48"/>
  <c r="AU28" i="48"/>
  <c r="AT28" i="48"/>
  <c r="AS28" i="48"/>
  <c r="BG27" i="48"/>
  <c r="BF27" i="48"/>
  <c r="BE27" i="48"/>
  <c r="BD27" i="48"/>
  <c r="BC27" i="48"/>
  <c r="BB27" i="48"/>
  <c r="BA27" i="48"/>
  <c r="AZ27" i="48"/>
  <c r="AY27" i="48"/>
  <c r="AX27" i="48"/>
  <c r="AW27" i="48"/>
  <c r="AV27" i="48"/>
  <c r="AU27" i="48"/>
  <c r="AT27" i="48"/>
  <c r="AS27" i="48"/>
  <c r="BG26" i="48"/>
  <c r="BF26" i="48"/>
  <c r="BE26" i="48"/>
  <c r="BD26" i="48"/>
  <c r="BC26" i="48"/>
  <c r="BB26" i="48"/>
  <c r="BA26" i="48"/>
  <c r="AZ26" i="48"/>
  <c r="AY26" i="48"/>
  <c r="AX26" i="48"/>
  <c r="AW26" i="48"/>
  <c r="AV26" i="48"/>
  <c r="AU26" i="48"/>
  <c r="AT26" i="48"/>
  <c r="AS26" i="48"/>
  <c r="H26" i="48"/>
  <c r="E26" i="48"/>
  <c r="C26" i="48"/>
  <c r="BG25" i="48"/>
  <c r="BF25" i="48"/>
  <c r="BE25" i="48"/>
  <c r="BD25" i="48"/>
  <c r="BC25" i="48"/>
  <c r="BB25" i="48"/>
  <c r="BA25" i="48"/>
  <c r="AZ25" i="48"/>
  <c r="AY25" i="48"/>
  <c r="AX25" i="48"/>
  <c r="AW25" i="48"/>
  <c r="AV25" i="48"/>
  <c r="AU25" i="48"/>
  <c r="AT25" i="48"/>
  <c r="AS25" i="48"/>
  <c r="BG24" i="48"/>
  <c r="BF24" i="48"/>
  <c r="BE24" i="48"/>
  <c r="BD24" i="48"/>
  <c r="BC24" i="48"/>
  <c r="BB24" i="48"/>
  <c r="BA24" i="48"/>
  <c r="AZ24" i="48"/>
  <c r="AY24" i="48"/>
  <c r="AX24" i="48"/>
  <c r="AW24" i="48"/>
  <c r="AV24" i="48"/>
  <c r="AU24" i="48"/>
  <c r="AT24" i="48"/>
  <c r="AS24" i="48"/>
  <c r="BG23" i="48"/>
  <c r="BF23" i="48"/>
  <c r="BE23" i="48"/>
  <c r="BD23" i="48"/>
  <c r="BC23" i="48"/>
  <c r="BB23" i="48"/>
  <c r="BA23" i="48"/>
  <c r="AZ23" i="48"/>
  <c r="AY23" i="48"/>
  <c r="AX23" i="48"/>
  <c r="AW23" i="48"/>
  <c r="AV23" i="48"/>
  <c r="AU23" i="48"/>
  <c r="AT23" i="48"/>
  <c r="AS23" i="48"/>
  <c r="G23" i="48"/>
  <c r="E25" i="48" s="1"/>
  <c r="BG22" i="48"/>
  <c r="BF22" i="48"/>
  <c r="BE22" i="48"/>
  <c r="BD22" i="48"/>
  <c r="BC22" i="48"/>
  <c r="BB22" i="48"/>
  <c r="BA22" i="48"/>
  <c r="AZ22" i="48"/>
  <c r="AY22" i="48"/>
  <c r="AX22" i="48"/>
  <c r="AW22" i="48"/>
  <c r="AV22" i="48"/>
  <c r="AU22" i="48"/>
  <c r="AT22" i="48"/>
  <c r="AS22" i="48"/>
  <c r="BG21" i="48"/>
  <c r="BF21" i="48"/>
  <c r="BE21" i="48"/>
  <c r="BD21" i="48"/>
  <c r="BC21" i="48"/>
  <c r="BB21" i="48"/>
  <c r="BA21" i="48"/>
  <c r="AZ21" i="48"/>
  <c r="AY21" i="48"/>
  <c r="AX21" i="48"/>
  <c r="AW21" i="48"/>
  <c r="AV21" i="48"/>
  <c r="AU21" i="48"/>
  <c r="AT21" i="48"/>
  <c r="AS21" i="48"/>
  <c r="AN21" i="48"/>
  <c r="AM21" i="48"/>
  <c r="AL21" i="48"/>
  <c r="AK21" i="48"/>
  <c r="AJ21" i="48"/>
  <c r="AI21" i="48"/>
  <c r="AH21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BG20" i="48"/>
  <c r="BF20" i="48"/>
  <c r="BE20" i="48"/>
  <c r="BD20" i="48"/>
  <c r="BC20" i="48"/>
  <c r="BB20" i="48"/>
  <c r="BA20" i="48"/>
  <c r="AZ20" i="48"/>
  <c r="AY20" i="48"/>
  <c r="AX20" i="48"/>
  <c r="AW20" i="48"/>
  <c r="AV20" i="48"/>
  <c r="AU20" i="48"/>
  <c r="AT20" i="48"/>
  <c r="AS20" i="48"/>
  <c r="BG19" i="48"/>
  <c r="BF19" i="48"/>
  <c r="BE19" i="48"/>
  <c r="BD19" i="48"/>
  <c r="BC19" i="48"/>
  <c r="BB19" i="48"/>
  <c r="BA19" i="48"/>
  <c r="AZ19" i="48"/>
  <c r="AY19" i="48"/>
  <c r="AX19" i="48"/>
  <c r="AW19" i="48"/>
  <c r="AV19" i="48"/>
  <c r="AU19" i="48"/>
  <c r="AT19" i="48"/>
  <c r="AS19" i="48"/>
  <c r="BG18" i="48"/>
  <c r="BF18" i="48"/>
  <c r="BE18" i="48"/>
  <c r="BD18" i="48"/>
  <c r="BC18" i="48"/>
  <c r="BB18" i="48"/>
  <c r="BA18" i="48"/>
  <c r="AZ18" i="48"/>
  <c r="AY18" i="48"/>
  <c r="AX18" i="48"/>
  <c r="AW18" i="48"/>
  <c r="AV18" i="48"/>
  <c r="AU18" i="48"/>
  <c r="AT18" i="48"/>
  <c r="AS18" i="48"/>
  <c r="AK18" i="48"/>
  <c r="AH18" i="48"/>
  <c r="AE18" i="48"/>
  <c r="I18" i="48"/>
  <c r="D18" i="48"/>
  <c r="C25" i="48" s="1"/>
  <c r="BG17" i="48"/>
  <c r="BF17" i="48"/>
  <c r="BE17" i="48"/>
  <c r="BD17" i="48"/>
  <c r="BC17" i="48"/>
  <c r="BB17" i="48"/>
  <c r="BA17" i="48"/>
  <c r="AZ17" i="48"/>
  <c r="AY17" i="48"/>
  <c r="AX17" i="48"/>
  <c r="AW17" i="48"/>
  <c r="AV17" i="48"/>
  <c r="AU17" i="48"/>
  <c r="AT17" i="48"/>
  <c r="AS17" i="48"/>
  <c r="BG16" i="48"/>
  <c r="BF16" i="48"/>
  <c r="BE16" i="48"/>
  <c r="BD16" i="48"/>
  <c r="BC16" i="48"/>
  <c r="BB16" i="48"/>
  <c r="BA16" i="48"/>
  <c r="AZ16" i="48"/>
  <c r="AY16" i="48"/>
  <c r="AX16" i="48"/>
  <c r="AW16" i="48"/>
  <c r="AV16" i="48"/>
  <c r="AU16" i="48"/>
  <c r="AT16" i="48"/>
  <c r="AS16" i="48"/>
  <c r="AN16" i="48"/>
  <c r="AM16" i="48"/>
  <c r="AL16" i="48"/>
  <c r="AK16" i="48"/>
  <c r="AJ16" i="48"/>
  <c r="AI16" i="48"/>
  <c r="AH16" i="48"/>
  <c r="AG16" i="48"/>
  <c r="AF16" i="48"/>
  <c r="AE16" i="48"/>
  <c r="AD16" i="48"/>
  <c r="AC16" i="48"/>
  <c r="AB16" i="48"/>
  <c r="AA16" i="48"/>
  <c r="Z16" i="48"/>
  <c r="Y16" i="48"/>
  <c r="X16" i="48"/>
  <c r="W16" i="48"/>
  <c r="V16" i="48"/>
  <c r="U16" i="48"/>
  <c r="T16" i="48"/>
  <c r="S16" i="48"/>
  <c r="R16" i="48"/>
  <c r="Q16" i="48"/>
  <c r="P16" i="48"/>
  <c r="O16" i="48"/>
  <c r="N16" i="48"/>
  <c r="M16" i="48"/>
  <c r="L16" i="48"/>
  <c r="K16" i="48"/>
  <c r="J16" i="48"/>
  <c r="I16" i="48"/>
  <c r="H16" i="48"/>
  <c r="G16" i="48"/>
  <c r="BG15" i="48"/>
  <c r="BF15" i="48"/>
  <c r="BE15" i="48"/>
  <c r="BD15" i="48"/>
  <c r="BC15" i="48"/>
  <c r="BB15" i="48"/>
  <c r="BA15" i="48"/>
  <c r="AZ15" i="48"/>
  <c r="AY15" i="48"/>
  <c r="AX15" i="48"/>
  <c r="AW15" i="48"/>
  <c r="AV15" i="48"/>
  <c r="AU15" i="48"/>
  <c r="AT15" i="48"/>
  <c r="AS15" i="48"/>
  <c r="BG14" i="48"/>
  <c r="BF14" i="48"/>
  <c r="BE14" i="48"/>
  <c r="BD14" i="48"/>
  <c r="BC14" i="48"/>
  <c r="BB14" i="48"/>
  <c r="BA14" i="48"/>
  <c r="AZ14" i="48"/>
  <c r="AY14" i="48"/>
  <c r="AX14" i="48"/>
  <c r="AW14" i="48"/>
  <c r="AV14" i="48"/>
  <c r="AU14" i="48"/>
  <c r="AT14" i="48"/>
  <c r="AS14" i="48"/>
  <c r="AP14" i="48"/>
  <c r="E14" i="48"/>
  <c r="BG13" i="48"/>
  <c r="BF13" i="48"/>
  <c r="BE13" i="48"/>
  <c r="BD13" i="48"/>
  <c r="BC13" i="48"/>
  <c r="BB13" i="48"/>
  <c r="BA13" i="48"/>
  <c r="AZ13" i="48"/>
  <c r="AY13" i="48"/>
  <c r="AX13" i="48"/>
  <c r="AW13" i="48"/>
  <c r="AV13" i="48"/>
  <c r="AU13" i="48"/>
  <c r="AT13" i="48"/>
  <c r="AS13" i="48"/>
  <c r="E13" i="48"/>
  <c r="BG12" i="48"/>
  <c r="BF12" i="48"/>
  <c r="BE12" i="48"/>
  <c r="BD12" i="48"/>
  <c r="BC12" i="48"/>
  <c r="BB12" i="48"/>
  <c r="BA12" i="48"/>
  <c r="AZ12" i="48"/>
  <c r="AY12" i="48"/>
  <c r="AX12" i="48"/>
  <c r="AW12" i="48"/>
  <c r="AV12" i="48"/>
  <c r="AU12" i="48"/>
  <c r="AT12" i="48"/>
  <c r="AS12" i="48"/>
  <c r="E12" i="48"/>
  <c r="BG11" i="48"/>
  <c r="BF11" i="48"/>
  <c r="BE11" i="48"/>
  <c r="BD11" i="48"/>
  <c r="BC11" i="48"/>
  <c r="BB11" i="48"/>
  <c r="BA11" i="48"/>
  <c r="AZ11" i="48"/>
  <c r="AY11" i="48"/>
  <c r="AX11" i="48"/>
  <c r="AW11" i="48"/>
  <c r="AV11" i="48"/>
  <c r="AU11" i="48"/>
  <c r="AT11" i="48"/>
  <c r="AS11" i="48"/>
  <c r="AP11" i="48"/>
  <c r="E11" i="48"/>
  <c r="BG10" i="48"/>
  <c r="BF10" i="48"/>
  <c r="BE10" i="48"/>
  <c r="BD10" i="48"/>
  <c r="BC10" i="48"/>
  <c r="BB10" i="48"/>
  <c r="BA10" i="48"/>
  <c r="AZ10" i="48"/>
  <c r="AY10" i="48"/>
  <c r="AX10" i="48"/>
  <c r="AW10" i="48"/>
  <c r="AV10" i="48"/>
  <c r="AU10" i="48"/>
  <c r="AT10" i="48"/>
  <c r="AS10" i="48"/>
  <c r="E10" i="48"/>
  <c r="BG9" i="48"/>
  <c r="BF9" i="48"/>
  <c r="BE9" i="48"/>
  <c r="BD9" i="48"/>
  <c r="BC9" i="48"/>
  <c r="BB9" i="48"/>
  <c r="BA9" i="48"/>
  <c r="AZ9" i="48"/>
  <c r="AY9" i="48"/>
  <c r="AX9" i="48"/>
  <c r="AW9" i="48"/>
  <c r="AV9" i="48"/>
  <c r="AU9" i="48"/>
  <c r="AT9" i="48"/>
  <c r="AS9" i="48"/>
  <c r="AP9" i="48"/>
  <c r="E9" i="48"/>
  <c r="BG8" i="48"/>
  <c r="BF8" i="48"/>
  <c r="BE8" i="48"/>
  <c r="BD8" i="48"/>
  <c r="BC8" i="48"/>
  <c r="BB8" i="48"/>
  <c r="BA8" i="48"/>
  <c r="AZ8" i="48"/>
  <c r="AY8" i="48"/>
  <c r="AX8" i="48"/>
  <c r="AW8" i="48"/>
  <c r="AV8" i="48"/>
  <c r="AU8" i="48"/>
  <c r="AT8" i="48"/>
  <c r="AS8" i="48"/>
  <c r="E8" i="48"/>
  <c r="BG7" i="48"/>
  <c r="BF7" i="48"/>
  <c r="BE7" i="48"/>
  <c r="BD7" i="48"/>
  <c r="BC7" i="48"/>
  <c r="BB7" i="48"/>
  <c r="BA7" i="48"/>
  <c r="AZ7" i="48"/>
  <c r="AY7" i="48"/>
  <c r="AX7" i="48"/>
  <c r="AW7" i="48"/>
  <c r="AV7" i="48"/>
  <c r="AU7" i="48"/>
  <c r="AT7" i="48"/>
  <c r="AS7" i="48"/>
  <c r="AP7" i="48"/>
  <c r="E7" i="48"/>
  <c r="BG6" i="48"/>
  <c r="BF6" i="48"/>
  <c r="BE6" i="48"/>
  <c r="BD6" i="48"/>
  <c r="BC6" i="48"/>
  <c r="BB6" i="48"/>
  <c r="BA6" i="48"/>
  <c r="AZ6" i="48"/>
  <c r="AY6" i="48"/>
  <c r="AX6" i="48"/>
  <c r="AW6" i="48"/>
  <c r="AV6" i="48"/>
  <c r="AU6" i="48"/>
  <c r="AT6" i="48"/>
  <c r="AS6" i="48"/>
  <c r="E6" i="48"/>
  <c r="BG5" i="48"/>
  <c r="BF5" i="48"/>
  <c r="BE5" i="48"/>
  <c r="BD5" i="48"/>
  <c r="BC5" i="48"/>
  <c r="BB5" i="48"/>
  <c r="BA5" i="48"/>
  <c r="AZ5" i="48"/>
  <c r="AY5" i="48"/>
  <c r="AX5" i="48"/>
  <c r="AW5" i="48"/>
  <c r="AV5" i="48"/>
  <c r="AU5" i="48"/>
  <c r="AT5" i="48"/>
  <c r="AS5" i="48"/>
  <c r="E5" i="48"/>
  <c r="BG4" i="48"/>
  <c r="BF4" i="48"/>
  <c r="BE4" i="48"/>
  <c r="BD4" i="48"/>
  <c r="BC4" i="48"/>
  <c r="BB4" i="48"/>
  <c r="BA4" i="48"/>
  <c r="AZ4" i="48"/>
  <c r="AY4" i="48"/>
  <c r="AX4" i="48"/>
  <c r="AW4" i="48"/>
  <c r="AV4" i="48"/>
  <c r="AU4" i="48"/>
  <c r="AT4" i="48"/>
  <c r="AS4" i="48"/>
  <c r="AP4" i="48"/>
  <c r="E4" i="48"/>
  <c r="E18" i="48" s="1"/>
  <c r="BG3" i="48"/>
  <c r="BF3" i="48"/>
  <c r="BE3" i="48"/>
  <c r="BD3" i="48"/>
  <c r="BC3" i="48"/>
  <c r="BB3" i="48"/>
  <c r="BA3" i="48"/>
  <c r="AZ3" i="48"/>
  <c r="AY3" i="48"/>
  <c r="AX3" i="48"/>
  <c r="AW3" i="48"/>
  <c r="AV3" i="48"/>
  <c r="AU3" i="48"/>
  <c r="AT3" i="48"/>
  <c r="AS3" i="48"/>
  <c r="BG2" i="48"/>
  <c r="BF2" i="48"/>
  <c r="BE2" i="48"/>
  <c r="BD2" i="48"/>
  <c r="BC2" i="48"/>
  <c r="BB2" i="48"/>
  <c r="BA2" i="48"/>
  <c r="AZ2" i="48"/>
  <c r="AY2" i="48"/>
  <c r="AX2" i="48"/>
  <c r="AW2" i="48"/>
  <c r="AV2" i="48"/>
  <c r="AU2" i="48"/>
  <c r="AT2" i="48"/>
  <c r="AS2" i="48"/>
  <c r="BG62" i="47"/>
  <c r="BF62" i="47"/>
  <c r="BE62" i="47"/>
  <c r="BD62" i="47"/>
  <c r="BC62" i="47"/>
  <c r="BB62" i="47"/>
  <c r="BA62" i="47"/>
  <c r="AZ62" i="47"/>
  <c r="AY62" i="47"/>
  <c r="AX62" i="47"/>
  <c r="AW62" i="47"/>
  <c r="AV62" i="47"/>
  <c r="AU62" i="47"/>
  <c r="AT62" i="47"/>
  <c r="AS62" i="47"/>
  <c r="BG61" i="47"/>
  <c r="BF61" i="47"/>
  <c r="BE61" i="47"/>
  <c r="BD61" i="47"/>
  <c r="BC61" i="47"/>
  <c r="BB61" i="47"/>
  <c r="BA61" i="47"/>
  <c r="AZ61" i="47"/>
  <c r="AY61" i="47"/>
  <c r="AX61" i="47"/>
  <c r="AW61" i="47"/>
  <c r="AV61" i="47"/>
  <c r="AU61" i="47"/>
  <c r="AT61" i="47"/>
  <c r="AS61" i="47"/>
  <c r="BG60" i="47"/>
  <c r="BF60" i="47"/>
  <c r="BE60" i="47"/>
  <c r="BD60" i="47"/>
  <c r="BC60" i="47"/>
  <c r="BB60" i="47"/>
  <c r="BA60" i="47"/>
  <c r="AZ60" i="47"/>
  <c r="AY60" i="47"/>
  <c r="AX60" i="47"/>
  <c r="AW60" i="47"/>
  <c r="AV60" i="47"/>
  <c r="AU60" i="47"/>
  <c r="AT60" i="47"/>
  <c r="AS60" i="47"/>
  <c r="BG59" i="47"/>
  <c r="BF59" i="47"/>
  <c r="BE59" i="47"/>
  <c r="BD59" i="47"/>
  <c r="BC59" i="47"/>
  <c r="BB59" i="47"/>
  <c r="BA59" i="47"/>
  <c r="AZ59" i="47"/>
  <c r="AY59" i="47"/>
  <c r="AX59" i="47"/>
  <c r="AW59" i="47"/>
  <c r="AV59" i="47"/>
  <c r="AU59" i="47"/>
  <c r="AT59" i="47"/>
  <c r="AS59" i="47"/>
  <c r="BG58" i="47"/>
  <c r="BF58" i="47"/>
  <c r="BE58" i="47"/>
  <c r="BD58" i="47"/>
  <c r="BC58" i="47"/>
  <c r="BB58" i="47"/>
  <c r="BA58" i="47"/>
  <c r="AZ58" i="47"/>
  <c r="AY58" i="47"/>
  <c r="AX58" i="47"/>
  <c r="AW58" i="47"/>
  <c r="AV58" i="47"/>
  <c r="AU58" i="47"/>
  <c r="AT58" i="47"/>
  <c r="AS58" i="47"/>
  <c r="BG57" i="47"/>
  <c r="BF57" i="47"/>
  <c r="BE57" i="47"/>
  <c r="BD57" i="47"/>
  <c r="BC57" i="47"/>
  <c r="BB57" i="47"/>
  <c r="BA57" i="47"/>
  <c r="AZ57" i="47"/>
  <c r="AY57" i="47"/>
  <c r="AX57" i="47"/>
  <c r="AW57" i="47"/>
  <c r="AV57" i="47"/>
  <c r="AU57" i="47"/>
  <c r="AT57" i="47"/>
  <c r="AS57" i="47"/>
  <c r="BG56" i="47"/>
  <c r="BF56" i="47"/>
  <c r="BE56" i="47"/>
  <c r="BD56" i="47"/>
  <c r="BC56" i="47"/>
  <c r="BB56" i="47"/>
  <c r="BA56" i="47"/>
  <c r="AZ56" i="47"/>
  <c r="AY56" i="47"/>
  <c r="AX56" i="47"/>
  <c r="AW56" i="47"/>
  <c r="AV56" i="47"/>
  <c r="AU56" i="47"/>
  <c r="AT56" i="47"/>
  <c r="AS56" i="47"/>
  <c r="BG55" i="47"/>
  <c r="BF55" i="47"/>
  <c r="BE55" i="47"/>
  <c r="BD55" i="47"/>
  <c r="BC55" i="47"/>
  <c r="BB55" i="47"/>
  <c r="BA55" i="47"/>
  <c r="AZ55" i="47"/>
  <c r="AY55" i="47"/>
  <c r="AX55" i="47"/>
  <c r="AW55" i="47"/>
  <c r="AV55" i="47"/>
  <c r="AU55" i="47"/>
  <c r="AT55" i="47"/>
  <c r="AS55" i="47"/>
  <c r="BG54" i="47"/>
  <c r="BF54" i="47"/>
  <c r="BE54" i="47"/>
  <c r="BD54" i="47"/>
  <c r="BC54" i="47"/>
  <c r="BB54" i="47"/>
  <c r="BA54" i="47"/>
  <c r="AZ54" i="47"/>
  <c r="AY54" i="47"/>
  <c r="AX54" i="47"/>
  <c r="AW54" i="47"/>
  <c r="AV54" i="47"/>
  <c r="AU54" i="47"/>
  <c r="AT54" i="47"/>
  <c r="AS54" i="47"/>
  <c r="BG53" i="47"/>
  <c r="BF53" i="47"/>
  <c r="BE53" i="47"/>
  <c r="BD53" i="47"/>
  <c r="BC53" i="47"/>
  <c r="BB53" i="47"/>
  <c r="BA53" i="47"/>
  <c r="AZ53" i="47"/>
  <c r="AY53" i="47"/>
  <c r="AX53" i="47"/>
  <c r="AW53" i="47"/>
  <c r="AV53" i="47"/>
  <c r="AU53" i="47"/>
  <c r="AT53" i="47"/>
  <c r="AS53" i="47"/>
  <c r="BG52" i="47"/>
  <c r="BF52" i="47"/>
  <c r="BE52" i="47"/>
  <c r="BD52" i="47"/>
  <c r="BC52" i="47"/>
  <c r="BB52" i="47"/>
  <c r="BA52" i="47"/>
  <c r="AZ52" i="47"/>
  <c r="AY52" i="47"/>
  <c r="AX52" i="47"/>
  <c r="AW52" i="47"/>
  <c r="AV52" i="47"/>
  <c r="AU52" i="47"/>
  <c r="AT52" i="47"/>
  <c r="AS52" i="47"/>
  <c r="BG51" i="47"/>
  <c r="BF51" i="47"/>
  <c r="BE51" i="47"/>
  <c r="BD51" i="47"/>
  <c r="BC51" i="47"/>
  <c r="BB51" i="47"/>
  <c r="BA51" i="47"/>
  <c r="AZ51" i="47"/>
  <c r="AY51" i="47"/>
  <c r="AX51" i="47"/>
  <c r="AW51" i="47"/>
  <c r="AV51" i="47"/>
  <c r="AU51" i="47"/>
  <c r="AT51" i="47"/>
  <c r="AS51" i="47"/>
  <c r="BG50" i="47"/>
  <c r="BF50" i="47"/>
  <c r="BE50" i="47"/>
  <c r="BD50" i="47"/>
  <c r="BC50" i="47"/>
  <c r="BB50" i="47"/>
  <c r="BA50" i="47"/>
  <c r="AZ50" i="47"/>
  <c r="AY50" i="47"/>
  <c r="AX50" i="47"/>
  <c r="AW50" i="47"/>
  <c r="AV50" i="47"/>
  <c r="AU50" i="47"/>
  <c r="AT50" i="47"/>
  <c r="AS50" i="47"/>
  <c r="BG49" i="47"/>
  <c r="BF49" i="47"/>
  <c r="BE49" i="47"/>
  <c r="BD49" i="47"/>
  <c r="BC49" i="47"/>
  <c r="BB49" i="47"/>
  <c r="BA49" i="47"/>
  <c r="AZ49" i="47"/>
  <c r="AY49" i="47"/>
  <c r="AX49" i="47"/>
  <c r="AW49" i="47"/>
  <c r="AV49" i="47"/>
  <c r="AU49" i="47"/>
  <c r="AT49" i="47"/>
  <c r="AS49" i="47"/>
  <c r="BG48" i="47"/>
  <c r="BF48" i="47"/>
  <c r="BE48" i="47"/>
  <c r="BD48" i="47"/>
  <c r="BC48" i="47"/>
  <c r="BB48" i="47"/>
  <c r="BA48" i="47"/>
  <c r="AZ48" i="47"/>
  <c r="AY48" i="47"/>
  <c r="AX48" i="47"/>
  <c r="AW48" i="47"/>
  <c r="AV48" i="47"/>
  <c r="AU48" i="47"/>
  <c r="AT48" i="47"/>
  <c r="AS48" i="47"/>
  <c r="BG47" i="47"/>
  <c r="BF47" i="47"/>
  <c r="BE47" i="47"/>
  <c r="BD47" i="47"/>
  <c r="BC47" i="47"/>
  <c r="BB47" i="47"/>
  <c r="BA47" i="47"/>
  <c r="AZ47" i="47"/>
  <c r="AY47" i="47"/>
  <c r="AX47" i="47"/>
  <c r="AW47" i="47"/>
  <c r="AV47" i="47"/>
  <c r="AU47" i="47"/>
  <c r="AT47" i="47"/>
  <c r="AS47" i="47"/>
  <c r="BG46" i="47"/>
  <c r="BF46" i="47"/>
  <c r="BE46" i="47"/>
  <c r="BD46" i="47"/>
  <c r="BC46" i="47"/>
  <c r="BB46" i="47"/>
  <c r="BA46" i="47"/>
  <c r="AZ46" i="47"/>
  <c r="AY46" i="47"/>
  <c r="AX46" i="47"/>
  <c r="AW46" i="47"/>
  <c r="AV46" i="47"/>
  <c r="AU46" i="47"/>
  <c r="AT46" i="47"/>
  <c r="AS46" i="47"/>
  <c r="BG45" i="47"/>
  <c r="BF45" i="47"/>
  <c r="BE45" i="47"/>
  <c r="BD45" i="47"/>
  <c r="BC45" i="47"/>
  <c r="BB45" i="47"/>
  <c r="BA45" i="47"/>
  <c r="AZ45" i="47"/>
  <c r="AY45" i="47"/>
  <c r="AX45" i="47"/>
  <c r="AW45" i="47"/>
  <c r="AV45" i="47"/>
  <c r="AU45" i="47"/>
  <c r="AT45" i="47"/>
  <c r="AS45" i="47"/>
  <c r="BG44" i="47"/>
  <c r="BF44" i="47"/>
  <c r="BE44" i="47"/>
  <c r="BD44" i="47"/>
  <c r="BC44" i="47"/>
  <c r="BB44" i="47"/>
  <c r="BA44" i="47"/>
  <c r="AZ44" i="47"/>
  <c r="AY44" i="47"/>
  <c r="AX44" i="47"/>
  <c r="AW44" i="47"/>
  <c r="AV44" i="47"/>
  <c r="AU44" i="47"/>
  <c r="AT44" i="47"/>
  <c r="AS44" i="47"/>
  <c r="BG43" i="47"/>
  <c r="BF43" i="47"/>
  <c r="BE43" i="47"/>
  <c r="BD43" i="47"/>
  <c r="BC43" i="47"/>
  <c r="BB43" i="47"/>
  <c r="BA43" i="47"/>
  <c r="AZ43" i="47"/>
  <c r="AY43" i="47"/>
  <c r="AX43" i="47"/>
  <c r="AW43" i="47"/>
  <c r="AV43" i="47"/>
  <c r="AU43" i="47"/>
  <c r="AT43" i="47"/>
  <c r="AS43" i="47"/>
  <c r="BG42" i="47"/>
  <c r="BF42" i="47"/>
  <c r="BE42" i="47"/>
  <c r="BD42" i="47"/>
  <c r="BC42" i="47"/>
  <c r="BB42" i="47"/>
  <c r="BA42" i="47"/>
  <c r="AZ42" i="47"/>
  <c r="AY42" i="47"/>
  <c r="AX42" i="47"/>
  <c r="AW42" i="47"/>
  <c r="AV42" i="47"/>
  <c r="AU42" i="47"/>
  <c r="AT42" i="47"/>
  <c r="AS42" i="47"/>
  <c r="BG41" i="47"/>
  <c r="BF41" i="47"/>
  <c r="BE41" i="47"/>
  <c r="BD41" i="47"/>
  <c r="BC41" i="47"/>
  <c r="BB41" i="47"/>
  <c r="BA41" i="47"/>
  <c r="AZ41" i="47"/>
  <c r="AY41" i="47"/>
  <c r="AX41" i="47"/>
  <c r="AW41" i="47"/>
  <c r="AV41" i="47"/>
  <c r="AU41" i="47"/>
  <c r="AT41" i="47"/>
  <c r="AS41" i="47"/>
  <c r="BG40" i="47"/>
  <c r="BF40" i="47"/>
  <c r="BE40" i="47"/>
  <c r="BD40" i="47"/>
  <c r="BC40" i="47"/>
  <c r="BB40" i="47"/>
  <c r="BA40" i="47"/>
  <c r="AZ40" i="47"/>
  <c r="AY40" i="47"/>
  <c r="AX40" i="47"/>
  <c r="AW40" i="47"/>
  <c r="AV40" i="47"/>
  <c r="AU40" i="47"/>
  <c r="AT40" i="47"/>
  <c r="AS40" i="47"/>
  <c r="BG39" i="47"/>
  <c r="BF39" i="47"/>
  <c r="BE39" i="47"/>
  <c r="BD39" i="47"/>
  <c r="BC39" i="47"/>
  <c r="BB39" i="47"/>
  <c r="BA39" i="47"/>
  <c r="AZ39" i="47"/>
  <c r="AY39" i="47"/>
  <c r="AX39" i="47"/>
  <c r="AW39" i="47"/>
  <c r="AV39" i="47"/>
  <c r="AU39" i="47"/>
  <c r="AT39" i="47"/>
  <c r="AS39" i="47"/>
  <c r="BG38" i="47"/>
  <c r="BF38" i="47"/>
  <c r="BE38" i="47"/>
  <c r="BD38" i="47"/>
  <c r="BC38" i="47"/>
  <c r="BB38" i="47"/>
  <c r="BA38" i="47"/>
  <c r="AZ38" i="47"/>
  <c r="AY38" i="47"/>
  <c r="AX38" i="47"/>
  <c r="AW38" i="47"/>
  <c r="AV38" i="47"/>
  <c r="AU38" i="47"/>
  <c r="AT38" i="47"/>
  <c r="AS38" i="47"/>
  <c r="BG37" i="47"/>
  <c r="BF37" i="47"/>
  <c r="BE37" i="47"/>
  <c r="BD37" i="47"/>
  <c r="BC37" i="47"/>
  <c r="BB37" i="47"/>
  <c r="BA37" i="47"/>
  <c r="AZ37" i="47"/>
  <c r="AY37" i="47"/>
  <c r="AX37" i="47"/>
  <c r="AW37" i="47"/>
  <c r="AV37" i="47"/>
  <c r="AU37" i="47"/>
  <c r="AT37" i="47"/>
  <c r="AS37" i="47"/>
  <c r="BG36" i="47"/>
  <c r="BF36" i="47"/>
  <c r="BE36" i="47"/>
  <c r="BD36" i="47"/>
  <c r="BC36" i="47"/>
  <c r="BB36" i="47"/>
  <c r="BA36" i="47"/>
  <c r="AZ36" i="47"/>
  <c r="AY36" i="47"/>
  <c r="AX36" i="47"/>
  <c r="AW36" i="47"/>
  <c r="AV36" i="47"/>
  <c r="AU36" i="47"/>
  <c r="AT36" i="47"/>
  <c r="AS36" i="47"/>
  <c r="BG35" i="47"/>
  <c r="BF35" i="47"/>
  <c r="BE35" i="47"/>
  <c r="BD35" i="47"/>
  <c r="BC35" i="47"/>
  <c r="BB35" i="47"/>
  <c r="BA35" i="47"/>
  <c r="AZ35" i="47"/>
  <c r="AY35" i="47"/>
  <c r="AX35" i="47"/>
  <c r="AW35" i="47"/>
  <c r="AV35" i="47"/>
  <c r="AU35" i="47"/>
  <c r="AT35" i="47"/>
  <c r="AS35" i="47"/>
  <c r="BG34" i="47"/>
  <c r="BF34" i="47"/>
  <c r="BE34" i="47"/>
  <c r="BD34" i="47"/>
  <c r="BC34" i="47"/>
  <c r="BB34" i="47"/>
  <c r="BA34" i="47"/>
  <c r="AZ34" i="47"/>
  <c r="AY34" i="47"/>
  <c r="AX34" i="47"/>
  <c r="AW34" i="47"/>
  <c r="AV34" i="47"/>
  <c r="AU34" i="47"/>
  <c r="AT34" i="47"/>
  <c r="AS34" i="47"/>
  <c r="BG33" i="47"/>
  <c r="BF33" i="47"/>
  <c r="BE33" i="47"/>
  <c r="BD33" i="47"/>
  <c r="BC33" i="47"/>
  <c r="BB33" i="47"/>
  <c r="BA33" i="47"/>
  <c r="AZ33" i="47"/>
  <c r="AY33" i="47"/>
  <c r="AX33" i="47"/>
  <c r="AW33" i="47"/>
  <c r="AV33" i="47"/>
  <c r="AU33" i="47"/>
  <c r="AT33" i="47"/>
  <c r="AS33" i="47"/>
  <c r="BG32" i="47"/>
  <c r="BF32" i="47"/>
  <c r="BE32" i="47"/>
  <c r="BD32" i="47"/>
  <c r="BC32" i="47"/>
  <c r="BB32" i="47"/>
  <c r="BA32" i="47"/>
  <c r="AZ32" i="47"/>
  <c r="AY32" i="47"/>
  <c r="AX32" i="47"/>
  <c r="AW32" i="47"/>
  <c r="AV32" i="47"/>
  <c r="AU32" i="47"/>
  <c r="AT32" i="47"/>
  <c r="AS32" i="47"/>
  <c r="BG31" i="47"/>
  <c r="BF31" i="47"/>
  <c r="BE31" i="47"/>
  <c r="BD31" i="47"/>
  <c r="BC31" i="47"/>
  <c r="BB31" i="47"/>
  <c r="BA31" i="47"/>
  <c r="AZ31" i="47"/>
  <c r="AY31" i="47"/>
  <c r="AX31" i="47"/>
  <c r="AW31" i="47"/>
  <c r="AV31" i="47"/>
  <c r="AU31" i="47"/>
  <c r="AT31" i="47"/>
  <c r="AS31" i="47"/>
  <c r="BG30" i="47"/>
  <c r="BF30" i="47"/>
  <c r="BE30" i="47"/>
  <c r="BD30" i="47"/>
  <c r="BC30" i="47"/>
  <c r="BB30" i="47"/>
  <c r="BA30" i="47"/>
  <c r="AZ30" i="47"/>
  <c r="AY30" i="47"/>
  <c r="AX30" i="47"/>
  <c r="AW30" i="47"/>
  <c r="AV30" i="47"/>
  <c r="AU30" i="47"/>
  <c r="AT30" i="47"/>
  <c r="AS30" i="47"/>
  <c r="BG29" i="47"/>
  <c r="BF29" i="47"/>
  <c r="BE29" i="47"/>
  <c r="BD29" i="47"/>
  <c r="BC29" i="47"/>
  <c r="BB29" i="47"/>
  <c r="BA29" i="47"/>
  <c r="AZ29" i="47"/>
  <c r="AY29" i="47"/>
  <c r="AX29" i="47"/>
  <c r="AW29" i="47"/>
  <c r="AV29" i="47"/>
  <c r="AU29" i="47"/>
  <c r="AT29" i="47"/>
  <c r="AS29" i="47"/>
  <c r="BG28" i="47"/>
  <c r="BF28" i="47"/>
  <c r="BE28" i="47"/>
  <c r="BD28" i="47"/>
  <c r="BC28" i="47"/>
  <c r="BB28" i="47"/>
  <c r="BA28" i="47"/>
  <c r="AZ28" i="47"/>
  <c r="AY28" i="47"/>
  <c r="AX28" i="47"/>
  <c r="AW28" i="47"/>
  <c r="AV28" i="47"/>
  <c r="AU28" i="47"/>
  <c r="AT28" i="47"/>
  <c r="AS28" i="47"/>
  <c r="BG27" i="47"/>
  <c r="BF27" i="47"/>
  <c r="BE27" i="47"/>
  <c r="BD27" i="47"/>
  <c r="BC27" i="47"/>
  <c r="BB27" i="47"/>
  <c r="BA27" i="47"/>
  <c r="AZ27" i="47"/>
  <c r="AY27" i="47"/>
  <c r="AX27" i="47"/>
  <c r="AW27" i="47"/>
  <c r="AV27" i="47"/>
  <c r="AU27" i="47"/>
  <c r="AT27" i="47"/>
  <c r="AS27" i="47"/>
  <c r="BG26" i="47"/>
  <c r="BF26" i="47"/>
  <c r="BE26" i="47"/>
  <c r="BD26" i="47"/>
  <c r="BC26" i="47"/>
  <c r="BB26" i="47"/>
  <c r="BA26" i="47"/>
  <c r="AZ26" i="47"/>
  <c r="AY26" i="47"/>
  <c r="AX26" i="47"/>
  <c r="AW26" i="47"/>
  <c r="AV26" i="47"/>
  <c r="AU26" i="47"/>
  <c r="AT26" i="47"/>
  <c r="AS26" i="47"/>
  <c r="H26" i="47"/>
  <c r="E26" i="47"/>
  <c r="C26" i="47"/>
  <c r="BG25" i="47"/>
  <c r="BF25" i="47"/>
  <c r="BE25" i="47"/>
  <c r="BD25" i="47"/>
  <c r="BC25" i="47"/>
  <c r="BB25" i="47"/>
  <c r="BA25" i="47"/>
  <c r="AZ25" i="47"/>
  <c r="AY25" i="47"/>
  <c r="AX25" i="47"/>
  <c r="AW25" i="47"/>
  <c r="AV25" i="47"/>
  <c r="AU25" i="47"/>
  <c r="AT25" i="47"/>
  <c r="AS25" i="47"/>
  <c r="C25" i="47"/>
  <c r="BG24" i="47"/>
  <c r="BF24" i="47"/>
  <c r="BE24" i="47"/>
  <c r="BD24" i="47"/>
  <c r="BC24" i="47"/>
  <c r="BB24" i="47"/>
  <c r="BA24" i="47"/>
  <c r="AZ24" i="47"/>
  <c r="AY24" i="47"/>
  <c r="AX24" i="47"/>
  <c r="AW24" i="47"/>
  <c r="AV24" i="47"/>
  <c r="AU24" i="47"/>
  <c r="AT24" i="47"/>
  <c r="AS24" i="47"/>
  <c r="BG23" i="47"/>
  <c r="BF23" i="47"/>
  <c r="BE23" i="47"/>
  <c r="BD23" i="47"/>
  <c r="BC23" i="47"/>
  <c r="BB23" i="47"/>
  <c r="BA23" i="47"/>
  <c r="AZ23" i="47"/>
  <c r="AY23" i="47"/>
  <c r="AX23" i="47"/>
  <c r="AW23" i="47"/>
  <c r="AV23" i="47"/>
  <c r="AU23" i="47"/>
  <c r="AT23" i="47"/>
  <c r="AS23" i="47"/>
  <c r="G23" i="47"/>
  <c r="G24" i="47" s="1"/>
  <c r="BG22" i="47"/>
  <c r="BF22" i="47"/>
  <c r="BE22" i="47"/>
  <c r="BD22" i="47"/>
  <c r="BC22" i="47"/>
  <c r="BB22" i="47"/>
  <c r="BA22" i="47"/>
  <c r="AZ22" i="47"/>
  <c r="AY22" i="47"/>
  <c r="AX22" i="47"/>
  <c r="AW22" i="47"/>
  <c r="AV22" i="47"/>
  <c r="AU22" i="47"/>
  <c r="AT22" i="47"/>
  <c r="AS22" i="47"/>
  <c r="BG21" i="47"/>
  <c r="BF21" i="47"/>
  <c r="BE21" i="47"/>
  <c r="BD21" i="47"/>
  <c r="BC21" i="47"/>
  <c r="BB21" i="47"/>
  <c r="BA21" i="47"/>
  <c r="AZ21" i="47"/>
  <c r="AY21" i="47"/>
  <c r="AX21" i="47"/>
  <c r="AW21" i="47"/>
  <c r="AV21" i="47"/>
  <c r="AU21" i="47"/>
  <c r="AT21" i="47"/>
  <c r="AS21" i="47"/>
  <c r="AN21" i="47"/>
  <c r="AM21" i="47"/>
  <c r="AL21" i="47"/>
  <c r="AK21" i="47"/>
  <c r="AJ21" i="47"/>
  <c r="AI21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BG20" i="47"/>
  <c r="BF20" i="47"/>
  <c r="BE20" i="47"/>
  <c r="BD20" i="47"/>
  <c r="BC20" i="47"/>
  <c r="BB20" i="47"/>
  <c r="BA20" i="47"/>
  <c r="AZ20" i="47"/>
  <c r="AY20" i="47"/>
  <c r="AX20" i="47"/>
  <c r="AW20" i="47"/>
  <c r="AV20" i="47"/>
  <c r="AU20" i="47"/>
  <c r="AT20" i="47"/>
  <c r="AS20" i="47"/>
  <c r="BG19" i="47"/>
  <c r="BF19" i="47"/>
  <c r="BE19" i="47"/>
  <c r="BD19" i="47"/>
  <c r="BC19" i="47"/>
  <c r="BB19" i="47"/>
  <c r="BA19" i="47"/>
  <c r="AZ19" i="47"/>
  <c r="AY19" i="47"/>
  <c r="AX19" i="47"/>
  <c r="AW19" i="47"/>
  <c r="AV19" i="47"/>
  <c r="AU19" i="47"/>
  <c r="AT19" i="47"/>
  <c r="AS19" i="47"/>
  <c r="BG18" i="47"/>
  <c r="BF18" i="47"/>
  <c r="BE18" i="47"/>
  <c r="BD18" i="47"/>
  <c r="BC18" i="47"/>
  <c r="BB18" i="47"/>
  <c r="BA18" i="47"/>
  <c r="AZ18" i="47"/>
  <c r="AY18" i="47"/>
  <c r="AX18" i="47"/>
  <c r="AW18" i="47"/>
  <c r="AV18" i="47"/>
  <c r="AU18" i="47"/>
  <c r="AT18" i="47"/>
  <c r="AS18" i="47"/>
  <c r="AK18" i="47"/>
  <c r="AH18" i="47"/>
  <c r="AE18" i="47"/>
  <c r="I18" i="47"/>
  <c r="D18" i="47"/>
  <c r="BG17" i="47"/>
  <c r="BF17" i="47"/>
  <c r="BE17" i="47"/>
  <c r="BD17" i="47"/>
  <c r="BC17" i="47"/>
  <c r="BB17" i="47"/>
  <c r="BA17" i="47"/>
  <c r="AZ17" i="47"/>
  <c r="AY17" i="47"/>
  <c r="AX17" i="47"/>
  <c r="AW17" i="47"/>
  <c r="AV17" i="47"/>
  <c r="AU17" i="47"/>
  <c r="AT17" i="47"/>
  <c r="AS17" i="47"/>
  <c r="BG16" i="47"/>
  <c r="BF16" i="47"/>
  <c r="BE16" i="47"/>
  <c r="BD16" i="47"/>
  <c r="BC16" i="47"/>
  <c r="BB16" i="47"/>
  <c r="BA16" i="47"/>
  <c r="AZ16" i="47"/>
  <c r="AY16" i="47"/>
  <c r="AX16" i="47"/>
  <c r="AW16" i="47"/>
  <c r="AV16" i="47"/>
  <c r="AU16" i="47"/>
  <c r="AT16" i="47"/>
  <c r="AS16" i="47"/>
  <c r="AN16" i="47"/>
  <c r="AM16" i="47"/>
  <c r="AL16" i="47"/>
  <c r="AK16" i="47"/>
  <c r="AJ16" i="47"/>
  <c r="AI16" i="47"/>
  <c r="AH16" i="47"/>
  <c r="AG16" i="47"/>
  <c r="AF16" i="47"/>
  <c r="AE16" i="47"/>
  <c r="AD16" i="47"/>
  <c r="AC16" i="47"/>
  <c r="AB16" i="47"/>
  <c r="AA16" i="47"/>
  <c r="Z16" i="47"/>
  <c r="Y16" i="47"/>
  <c r="X16" i="47"/>
  <c r="W16" i="47"/>
  <c r="V16" i="47"/>
  <c r="U16" i="47"/>
  <c r="T16" i="47"/>
  <c r="S16" i="47"/>
  <c r="R16" i="47"/>
  <c r="Q16" i="47"/>
  <c r="P16" i="47"/>
  <c r="O16" i="47"/>
  <c r="N16" i="47"/>
  <c r="M16" i="47"/>
  <c r="L16" i="47"/>
  <c r="K16" i="47"/>
  <c r="J16" i="47"/>
  <c r="I16" i="47"/>
  <c r="H16" i="47"/>
  <c r="G16" i="47"/>
  <c r="BG15" i="47"/>
  <c r="BF15" i="47"/>
  <c r="BE15" i="47"/>
  <c r="BD15" i="47"/>
  <c r="BC15" i="47"/>
  <c r="BB15" i="47"/>
  <c r="BA15" i="47"/>
  <c r="AZ15" i="47"/>
  <c r="AY15" i="47"/>
  <c r="AX15" i="47"/>
  <c r="AW15" i="47"/>
  <c r="AV15" i="47"/>
  <c r="AU15" i="47"/>
  <c r="AT15" i="47"/>
  <c r="AS15" i="47"/>
  <c r="BG14" i="47"/>
  <c r="BF14" i="47"/>
  <c r="BE14" i="47"/>
  <c r="BD14" i="47"/>
  <c r="BC14" i="47"/>
  <c r="BB14" i="47"/>
  <c r="BA14" i="47"/>
  <c r="AZ14" i="47"/>
  <c r="AY14" i="47"/>
  <c r="AX14" i="47"/>
  <c r="AW14" i="47"/>
  <c r="AV14" i="47"/>
  <c r="AU14" i="47"/>
  <c r="AT14" i="47"/>
  <c r="AS14" i="47"/>
  <c r="AP14" i="47"/>
  <c r="E14" i="47"/>
  <c r="BG13" i="47"/>
  <c r="BF13" i="47"/>
  <c r="BE13" i="47"/>
  <c r="BD13" i="47"/>
  <c r="BC13" i="47"/>
  <c r="BB13" i="47"/>
  <c r="BA13" i="47"/>
  <c r="AZ13" i="47"/>
  <c r="AY13" i="47"/>
  <c r="AX13" i="47"/>
  <c r="AW13" i="47"/>
  <c r="AV13" i="47"/>
  <c r="AU13" i="47"/>
  <c r="AT13" i="47"/>
  <c r="AS13" i="47"/>
  <c r="E13" i="47"/>
  <c r="BG12" i="47"/>
  <c r="BF12" i="47"/>
  <c r="BE12" i="47"/>
  <c r="BD12" i="47"/>
  <c r="BC12" i="47"/>
  <c r="BB12" i="47"/>
  <c r="BA12" i="47"/>
  <c r="AZ12" i="47"/>
  <c r="AY12" i="47"/>
  <c r="AX12" i="47"/>
  <c r="AW12" i="47"/>
  <c r="AV12" i="47"/>
  <c r="AU12" i="47"/>
  <c r="AT12" i="47"/>
  <c r="AS12" i="47"/>
  <c r="E12" i="47"/>
  <c r="BG11" i="47"/>
  <c r="BF11" i="47"/>
  <c r="BE11" i="47"/>
  <c r="BD11" i="47"/>
  <c r="BC11" i="47"/>
  <c r="BB11" i="47"/>
  <c r="BA11" i="47"/>
  <c r="AZ11" i="47"/>
  <c r="AY11" i="47"/>
  <c r="AX11" i="47"/>
  <c r="AW11" i="47"/>
  <c r="AV11" i="47"/>
  <c r="AU11" i="47"/>
  <c r="AT11" i="47"/>
  <c r="AS11" i="47"/>
  <c r="AP11" i="47"/>
  <c r="E11" i="47"/>
  <c r="BG10" i="47"/>
  <c r="BF10" i="47"/>
  <c r="BE10" i="47"/>
  <c r="BD10" i="47"/>
  <c r="BC10" i="47"/>
  <c r="BB10" i="47"/>
  <c r="BA10" i="47"/>
  <c r="AZ10" i="47"/>
  <c r="AY10" i="47"/>
  <c r="AX10" i="47"/>
  <c r="AW10" i="47"/>
  <c r="AV10" i="47"/>
  <c r="AU10" i="47"/>
  <c r="AT10" i="47"/>
  <c r="AS10" i="47"/>
  <c r="E10" i="47"/>
  <c r="BG9" i="47"/>
  <c r="BF9" i="47"/>
  <c r="BE9" i="47"/>
  <c r="BD9" i="47"/>
  <c r="BC9" i="47"/>
  <c r="BB9" i="47"/>
  <c r="BA9" i="47"/>
  <c r="AZ9" i="47"/>
  <c r="AY9" i="47"/>
  <c r="AX9" i="47"/>
  <c r="AW9" i="47"/>
  <c r="AV9" i="47"/>
  <c r="AU9" i="47"/>
  <c r="AT9" i="47"/>
  <c r="AS9" i="47"/>
  <c r="AP9" i="47"/>
  <c r="E9" i="47"/>
  <c r="BG8" i="47"/>
  <c r="BF8" i="47"/>
  <c r="BE8" i="47"/>
  <c r="BD8" i="47"/>
  <c r="BC8" i="47"/>
  <c r="BB8" i="47"/>
  <c r="BA8" i="47"/>
  <c r="AZ8" i="47"/>
  <c r="AY8" i="47"/>
  <c r="AX8" i="47"/>
  <c r="AW8" i="47"/>
  <c r="AV8" i="47"/>
  <c r="AU8" i="47"/>
  <c r="AT8" i="47"/>
  <c r="AS8" i="47"/>
  <c r="E8" i="47"/>
  <c r="BG7" i="47"/>
  <c r="BF7" i="47"/>
  <c r="BE7" i="47"/>
  <c r="BD7" i="47"/>
  <c r="BC7" i="47"/>
  <c r="BB7" i="47"/>
  <c r="BA7" i="47"/>
  <c r="AZ7" i="47"/>
  <c r="AY7" i="47"/>
  <c r="AX7" i="47"/>
  <c r="AW7" i="47"/>
  <c r="AV7" i="47"/>
  <c r="AU7" i="47"/>
  <c r="AT7" i="47"/>
  <c r="AS7" i="47"/>
  <c r="AP7" i="47"/>
  <c r="E7" i="47"/>
  <c r="BG6" i="47"/>
  <c r="BF6" i="47"/>
  <c r="BE6" i="47"/>
  <c r="BD6" i="47"/>
  <c r="BC6" i="47"/>
  <c r="BB6" i="47"/>
  <c r="BA6" i="47"/>
  <c r="AZ6" i="47"/>
  <c r="AY6" i="47"/>
  <c r="AX6" i="47"/>
  <c r="AW6" i="47"/>
  <c r="AV6" i="47"/>
  <c r="AU6" i="47"/>
  <c r="AT6" i="47"/>
  <c r="AS6" i="47"/>
  <c r="E6" i="47"/>
  <c r="BG5" i="47"/>
  <c r="BF5" i="47"/>
  <c r="BE5" i="47"/>
  <c r="BD5" i="47"/>
  <c r="BC5" i="47"/>
  <c r="BB5" i="47"/>
  <c r="BA5" i="47"/>
  <c r="AZ5" i="47"/>
  <c r="AY5" i="47"/>
  <c r="AX5" i="47"/>
  <c r="AW5" i="47"/>
  <c r="AV5" i="47"/>
  <c r="AU5" i="47"/>
  <c r="AT5" i="47"/>
  <c r="AS5" i="47"/>
  <c r="E5" i="47"/>
  <c r="BG4" i="47"/>
  <c r="BF4" i="47"/>
  <c r="BE4" i="47"/>
  <c r="BD4" i="47"/>
  <c r="BC4" i="47"/>
  <c r="BB4" i="47"/>
  <c r="BA4" i="47"/>
  <c r="AZ4" i="47"/>
  <c r="AY4" i="47"/>
  <c r="AX4" i="47"/>
  <c r="AW4" i="47"/>
  <c r="AV4" i="47"/>
  <c r="AU4" i="47"/>
  <c r="AT4" i="47"/>
  <c r="AS4" i="47"/>
  <c r="AP4" i="47"/>
  <c r="E4" i="47"/>
  <c r="E18" i="47" s="1"/>
  <c r="BG3" i="47"/>
  <c r="BF3" i="47"/>
  <c r="BE3" i="47"/>
  <c r="BD3" i="47"/>
  <c r="BC3" i="47"/>
  <c r="BB3" i="47"/>
  <c r="BA3" i="47"/>
  <c r="AZ3" i="47"/>
  <c r="AY3" i="47"/>
  <c r="AX3" i="47"/>
  <c r="AW3" i="47"/>
  <c r="AV3" i="47"/>
  <c r="AU3" i="47"/>
  <c r="AT3" i="47"/>
  <c r="AS3" i="47"/>
  <c r="BG2" i="47"/>
  <c r="BF2" i="47"/>
  <c r="BE2" i="47"/>
  <c r="BD2" i="47"/>
  <c r="BC2" i="47"/>
  <c r="BB2" i="47"/>
  <c r="BA2" i="47"/>
  <c r="AZ2" i="47"/>
  <c r="AY2" i="47"/>
  <c r="AX2" i="47"/>
  <c r="AW2" i="47"/>
  <c r="AV2" i="47"/>
  <c r="AU2" i="47"/>
  <c r="AT2" i="47"/>
  <c r="AS2" i="47"/>
  <c r="BG62" i="46"/>
  <c r="BF62" i="46"/>
  <c r="BE62" i="46"/>
  <c r="BD62" i="46"/>
  <c r="BC62" i="46"/>
  <c r="BB62" i="46"/>
  <c r="BA62" i="46"/>
  <c r="AZ62" i="46"/>
  <c r="AY62" i="46"/>
  <c r="AX62" i="46"/>
  <c r="AW62" i="46"/>
  <c r="AV62" i="46"/>
  <c r="AU62" i="46"/>
  <c r="AT62" i="46"/>
  <c r="AS62" i="46"/>
  <c r="BG61" i="46"/>
  <c r="BF61" i="46"/>
  <c r="BE61" i="46"/>
  <c r="BD61" i="46"/>
  <c r="BC61" i="46"/>
  <c r="BB61" i="46"/>
  <c r="BA61" i="46"/>
  <c r="AZ61" i="46"/>
  <c r="AY61" i="46"/>
  <c r="AX61" i="46"/>
  <c r="AW61" i="46"/>
  <c r="AV61" i="46"/>
  <c r="AU61" i="46"/>
  <c r="AT61" i="46"/>
  <c r="AS61" i="46"/>
  <c r="BG60" i="46"/>
  <c r="BF60" i="46"/>
  <c r="BE60" i="46"/>
  <c r="BD60" i="46"/>
  <c r="BC60" i="46"/>
  <c r="BB60" i="46"/>
  <c r="BA60" i="46"/>
  <c r="AZ60" i="46"/>
  <c r="AY60" i="46"/>
  <c r="AX60" i="46"/>
  <c r="AW60" i="46"/>
  <c r="AV60" i="46"/>
  <c r="AU60" i="46"/>
  <c r="AT60" i="46"/>
  <c r="AS60" i="46"/>
  <c r="BG59" i="46"/>
  <c r="BF59" i="46"/>
  <c r="BE59" i="46"/>
  <c r="BD59" i="46"/>
  <c r="BC59" i="46"/>
  <c r="BB59" i="46"/>
  <c r="BA59" i="46"/>
  <c r="AZ59" i="46"/>
  <c r="AY59" i="46"/>
  <c r="AX59" i="46"/>
  <c r="AW59" i="46"/>
  <c r="AV59" i="46"/>
  <c r="AU59" i="46"/>
  <c r="AT59" i="46"/>
  <c r="AS59" i="46"/>
  <c r="BG58" i="46"/>
  <c r="BF58" i="46"/>
  <c r="BE58" i="46"/>
  <c r="BD58" i="46"/>
  <c r="BC58" i="46"/>
  <c r="BB58" i="46"/>
  <c r="BA58" i="46"/>
  <c r="AZ58" i="46"/>
  <c r="AY58" i="46"/>
  <c r="AX58" i="46"/>
  <c r="AW58" i="46"/>
  <c r="AV58" i="46"/>
  <c r="AU58" i="46"/>
  <c r="AT58" i="46"/>
  <c r="AS58" i="46"/>
  <c r="BG57" i="46"/>
  <c r="BF57" i="46"/>
  <c r="BE57" i="46"/>
  <c r="BD57" i="46"/>
  <c r="BC57" i="46"/>
  <c r="BB57" i="46"/>
  <c r="BA57" i="46"/>
  <c r="AZ57" i="46"/>
  <c r="AY57" i="46"/>
  <c r="AX57" i="46"/>
  <c r="AW57" i="46"/>
  <c r="AV57" i="46"/>
  <c r="AU57" i="46"/>
  <c r="AT57" i="46"/>
  <c r="AS57" i="46"/>
  <c r="BG56" i="46"/>
  <c r="BF56" i="46"/>
  <c r="BE56" i="46"/>
  <c r="BD56" i="46"/>
  <c r="BC56" i="46"/>
  <c r="BB56" i="46"/>
  <c r="BA56" i="46"/>
  <c r="AZ56" i="46"/>
  <c r="AY56" i="46"/>
  <c r="AX56" i="46"/>
  <c r="AW56" i="46"/>
  <c r="AV56" i="46"/>
  <c r="AU56" i="46"/>
  <c r="AT56" i="46"/>
  <c r="AS56" i="46"/>
  <c r="BG55" i="46"/>
  <c r="BF55" i="46"/>
  <c r="BE55" i="46"/>
  <c r="BD55" i="46"/>
  <c r="BC55" i="46"/>
  <c r="BB55" i="46"/>
  <c r="BA55" i="46"/>
  <c r="AZ55" i="46"/>
  <c r="AY55" i="46"/>
  <c r="AX55" i="46"/>
  <c r="AW55" i="46"/>
  <c r="AV55" i="46"/>
  <c r="AU55" i="46"/>
  <c r="AT55" i="46"/>
  <c r="AS55" i="46"/>
  <c r="BG54" i="46"/>
  <c r="BF54" i="46"/>
  <c r="BE54" i="46"/>
  <c r="BD54" i="46"/>
  <c r="BC54" i="46"/>
  <c r="BB54" i="46"/>
  <c r="BA54" i="46"/>
  <c r="AZ54" i="46"/>
  <c r="AY54" i="46"/>
  <c r="AX54" i="46"/>
  <c r="AW54" i="46"/>
  <c r="AV54" i="46"/>
  <c r="AU54" i="46"/>
  <c r="AT54" i="46"/>
  <c r="AS54" i="46"/>
  <c r="BG53" i="46"/>
  <c r="BF53" i="46"/>
  <c r="BE53" i="46"/>
  <c r="BD53" i="46"/>
  <c r="BC53" i="46"/>
  <c r="BB53" i="46"/>
  <c r="BA53" i="46"/>
  <c r="AZ53" i="46"/>
  <c r="AY53" i="46"/>
  <c r="AX53" i="46"/>
  <c r="AW53" i="46"/>
  <c r="AV53" i="46"/>
  <c r="AU53" i="46"/>
  <c r="AT53" i="46"/>
  <c r="AS53" i="46"/>
  <c r="BG52" i="46"/>
  <c r="BF52" i="46"/>
  <c r="BE52" i="46"/>
  <c r="BD52" i="46"/>
  <c r="BC52" i="46"/>
  <c r="BB52" i="46"/>
  <c r="BA52" i="46"/>
  <c r="AZ52" i="46"/>
  <c r="AY52" i="46"/>
  <c r="AX52" i="46"/>
  <c r="AW52" i="46"/>
  <c r="AV52" i="46"/>
  <c r="AU52" i="46"/>
  <c r="AT52" i="46"/>
  <c r="AS52" i="46"/>
  <c r="BG51" i="46"/>
  <c r="BF51" i="46"/>
  <c r="BE51" i="46"/>
  <c r="BD51" i="46"/>
  <c r="BC51" i="46"/>
  <c r="BB51" i="46"/>
  <c r="BA51" i="46"/>
  <c r="AZ51" i="46"/>
  <c r="AY51" i="46"/>
  <c r="AX51" i="46"/>
  <c r="AW51" i="46"/>
  <c r="AV51" i="46"/>
  <c r="AU51" i="46"/>
  <c r="AT51" i="46"/>
  <c r="AS51" i="46"/>
  <c r="BG50" i="46"/>
  <c r="BF50" i="46"/>
  <c r="BE50" i="46"/>
  <c r="BD50" i="46"/>
  <c r="BC50" i="46"/>
  <c r="BB50" i="46"/>
  <c r="BA50" i="46"/>
  <c r="AZ50" i="46"/>
  <c r="AY50" i="46"/>
  <c r="AX50" i="46"/>
  <c r="AW50" i="46"/>
  <c r="AV50" i="46"/>
  <c r="AU50" i="46"/>
  <c r="AT50" i="46"/>
  <c r="AS50" i="46"/>
  <c r="BG49" i="46"/>
  <c r="BF49" i="46"/>
  <c r="BE49" i="46"/>
  <c r="BD49" i="46"/>
  <c r="BC49" i="46"/>
  <c r="BB49" i="46"/>
  <c r="BA49" i="46"/>
  <c r="AZ49" i="46"/>
  <c r="AY49" i="46"/>
  <c r="AX49" i="46"/>
  <c r="AW49" i="46"/>
  <c r="AV49" i="46"/>
  <c r="AU49" i="46"/>
  <c r="AT49" i="46"/>
  <c r="AS49" i="46"/>
  <c r="BG48" i="46"/>
  <c r="BF48" i="46"/>
  <c r="BE48" i="46"/>
  <c r="BD48" i="46"/>
  <c r="BC48" i="46"/>
  <c r="BB48" i="46"/>
  <c r="BA48" i="46"/>
  <c r="AZ48" i="46"/>
  <c r="AY48" i="46"/>
  <c r="AX48" i="46"/>
  <c r="AW48" i="46"/>
  <c r="AV48" i="46"/>
  <c r="AU48" i="46"/>
  <c r="AT48" i="46"/>
  <c r="AS48" i="46"/>
  <c r="BG47" i="46"/>
  <c r="BF47" i="46"/>
  <c r="BE47" i="46"/>
  <c r="BD47" i="46"/>
  <c r="BC47" i="46"/>
  <c r="BB47" i="46"/>
  <c r="BA47" i="46"/>
  <c r="AZ47" i="46"/>
  <c r="AY47" i="46"/>
  <c r="AX47" i="46"/>
  <c r="AW47" i="46"/>
  <c r="AV47" i="46"/>
  <c r="AU47" i="46"/>
  <c r="AT47" i="46"/>
  <c r="AS47" i="46"/>
  <c r="BG46" i="46"/>
  <c r="BF46" i="46"/>
  <c r="BE46" i="46"/>
  <c r="BD46" i="46"/>
  <c r="BC46" i="46"/>
  <c r="BB46" i="46"/>
  <c r="BA46" i="46"/>
  <c r="AZ46" i="46"/>
  <c r="AY46" i="46"/>
  <c r="AX46" i="46"/>
  <c r="AW46" i="46"/>
  <c r="AV46" i="46"/>
  <c r="AU46" i="46"/>
  <c r="AT46" i="46"/>
  <c r="AS46" i="46"/>
  <c r="BG45" i="46"/>
  <c r="BF45" i="46"/>
  <c r="BE45" i="46"/>
  <c r="BD45" i="46"/>
  <c r="BC45" i="46"/>
  <c r="BB45" i="46"/>
  <c r="BA45" i="46"/>
  <c r="AZ45" i="46"/>
  <c r="AY45" i="46"/>
  <c r="AX45" i="46"/>
  <c r="AW45" i="46"/>
  <c r="AV45" i="46"/>
  <c r="AU45" i="46"/>
  <c r="AT45" i="46"/>
  <c r="AS45" i="46"/>
  <c r="BG44" i="46"/>
  <c r="BF44" i="46"/>
  <c r="BE44" i="46"/>
  <c r="BD44" i="46"/>
  <c r="BC44" i="46"/>
  <c r="BB44" i="46"/>
  <c r="BA44" i="46"/>
  <c r="AZ44" i="46"/>
  <c r="AY44" i="46"/>
  <c r="AX44" i="46"/>
  <c r="AW44" i="46"/>
  <c r="AV44" i="46"/>
  <c r="AU44" i="46"/>
  <c r="AT44" i="46"/>
  <c r="AS44" i="46"/>
  <c r="BG43" i="46"/>
  <c r="BF43" i="46"/>
  <c r="BE43" i="46"/>
  <c r="BD43" i="46"/>
  <c r="BC43" i="46"/>
  <c r="BB43" i="46"/>
  <c r="BA43" i="46"/>
  <c r="AZ43" i="46"/>
  <c r="AY43" i="46"/>
  <c r="AX43" i="46"/>
  <c r="AW43" i="46"/>
  <c r="AV43" i="46"/>
  <c r="AU43" i="46"/>
  <c r="AT43" i="46"/>
  <c r="AS43" i="46"/>
  <c r="BG42" i="46"/>
  <c r="BF42" i="46"/>
  <c r="BE42" i="46"/>
  <c r="BD42" i="46"/>
  <c r="BC42" i="46"/>
  <c r="BB42" i="46"/>
  <c r="BA42" i="46"/>
  <c r="AZ42" i="46"/>
  <c r="AY42" i="46"/>
  <c r="AX42" i="46"/>
  <c r="AW42" i="46"/>
  <c r="AV42" i="46"/>
  <c r="AU42" i="46"/>
  <c r="AT42" i="46"/>
  <c r="AS42" i="46"/>
  <c r="BG41" i="46"/>
  <c r="BF41" i="46"/>
  <c r="BE41" i="46"/>
  <c r="BD41" i="46"/>
  <c r="BC41" i="46"/>
  <c r="BB41" i="46"/>
  <c r="BA41" i="46"/>
  <c r="AZ41" i="46"/>
  <c r="AY41" i="46"/>
  <c r="AX41" i="46"/>
  <c r="AW41" i="46"/>
  <c r="AV41" i="46"/>
  <c r="AU41" i="46"/>
  <c r="AT41" i="46"/>
  <c r="AS41" i="46"/>
  <c r="BG40" i="46"/>
  <c r="BF40" i="46"/>
  <c r="BE40" i="46"/>
  <c r="BD40" i="46"/>
  <c r="BC40" i="46"/>
  <c r="BB40" i="46"/>
  <c r="BA40" i="46"/>
  <c r="AZ40" i="46"/>
  <c r="AY40" i="46"/>
  <c r="AX40" i="46"/>
  <c r="AW40" i="46"/>
  <c r="AV40" i="46"/>
  <c r="AU40" i="46"/>
  <c r="AT40" i="46"/>
  <c r="AS40" i="46"/>
  <c r="BG39" i="46"/>
  <c r="BF39" i="46"/>
  <c r="BE39" i="46"/>
  <c r="BD39" i="46"/>
  <c r="BC39" i="46"/>
  <c r="BB39" i="46"/>
  <c r="BA39" i="46"/>
  <c r="AZ39" i="46"/>
  <c r="AY39" i="46"/>
  <c r="AX39" i="46"/>
  <c r="AW39" i="46"/>
  <c r="AV39" i="46"/>
  <c r="AU39" i="46"/>
  <c r="AT39" i="46"/>
  <c r="AS39" i="46"/>
  <c r="BG38" i="46"/>
  <c r="BF38" i="46"/>
  <c r="BE38" i="46"/>
  <c r="BD38" i="46"/>
  <c r="BC38" i="46"/>
  <c r="BB38" i="46"/>
  <c r="BA38" i="46"/>
  <c r="AZ38" i="46"/>
  <c r="AY38" i="46"/>
  <c r="AX38" i="46"/>
  <c r="AW38" i="46"/>
  <c r="AV38" i="46"/>
  <c r="AU38" i="46"/>
  <c r="AT38" i="46"/>
  <c r="AS38" i="46"/>
  <c r="BG37" i="46"/>
  <c r="BF37" i="46"/>
  <c r="BE37" i="46"/>
  <c r="BD37" i="46"/>
  <c r="BC37" i="46"/>
  <c r="BB37" i="46"/>
  <c r="BA37" i="46"/>
  <c r="AZ37" i="46"/>
  <c r="AY37" i="46"/>
  <c r="AX37" i="46"/>
  <c r="AW37" i="46"/>
  <c r="AV37" i="46"/>
  <c r="AU37" i="46"/>
  <c r="AT37" i="46"/>
  <c r="AS37" i="46"/>
  <c r="BG36" i="46"/>
  <c r="BF36" i="46"/>
  <c r="BE36" i="46"/>
  <c r="BD36" i="46"/>
  <c r="BC36" i="46"/>
  <c r="BB36" i="46"/>
  <c r="BA36" i="46"/>
  <c r="AZ36" i="46"/>
  <c r="AY36" i="46"/>
  <c r="AX36" i="46"/>
  <c r="AW36" i="46"/>
  <c r="AV36" i="46"/>
  <c r="AU36" i="46"/>
  <c r="AT36" i="46"/>
  <c r="AS36" i="46"/>
  <c r="BG35" i="46"/>
  <c r="BF35" i="46"/>
  <c r="BE35" i="46"/>
  <c r="BD35" i="46"/>
  <c r="BC35" i="46"/>
  <c r="BB35" i="46"/>
  <c r="BA35" i="46"/>
  <c r="AZ35" i="46"/>
  <c r="AY35" i="46"/>
  <c r="AX35" i="46"/>
  <c r="AW35" i="46"/>
  <c r="AV35" i="46"/>
  <c r="AU35" i="46"/>
  <c r="AT35" i="46"/>
  <c r="AS35" i="46"/>
  <c r="BG34" i="46"/>
  <c r="BF34" i="46"/>
  <c r="BE34" i="46"/>
  <c r="BD34" i="46"/>
  <c r="BC34" i="46"/>
  <c r="BB34" i="46"/>
  <c r="BA34" i="46"/>
  <c r="AZ34" i="46"/>
  <c r="AY34" i="46"/>
  <c r="AX34" i="46"/>
  <c r="AW34" i="46"/>
  <c r="AV34" i="46"/>
  <c r="AU34" i="46"/>
  <c r="AT34" i="46"/>
  <c r="AS34" i="46"/>
  <c r="BG33" i="46"/>
  <c r="BF33" i="46"/>
  <c r="BE33" i="46"/>
  <c r="BD33" i="46"/>
  <c r="BC33" i="46"/>
  <c r="BB33" i="46"/>
  <c r="BA33" i="46"/>
  <c r="AZ33" i="46"/>
  <c r="AY33" i="46"/>
  <c r="AX33" i="46"/>
  <c r="AW33" i="46"/>
  <c r="AV33" i="46"/>
  <c r="AU33" i="46"/>
  <c r="AT33" i="46"/>
  <c r="AS33" i="46"/>
  <c r="BG32" i="46"/>
  <c r="BF32" i="46"/>
  <c r="BE32" i="46"/>
  <c r="BD32" i="46"/>
  <c r="BC32" i="46"/>
  <c r="BB32" i="46"/>
  <c r="BA32" i="46"/>
  <c r="AZ32" i="46"/>
  <c r="AY32" i="46"/>
  <c r="AX32" i="46"/>
  <c r="AW32" i="46"/>
  <c r="AV32" i="46"/>
  <c r="AU32" i="46"/>
  <c r="AT32" i="46"/>
  <c r="AS32" i="46"/>
  <c r="BG31" i="46"/>
  <c r="BF31" i="46"/>
  <c r="BE31" i="46"/>
  <c r="BD31" i="46"/>
  <c r="BC31" i="46"/>
  <c r="BB31" i="46"/>
  <c r="BA31" i="46"/>
  <c r="AZ31" i="46"/>
  <c r="AY31" i="46"/>
  <c r="AX31" i="46"/>
  <c r="AW31" i="46"/>
  <c r="AV31" i="46"/>
  <c r="AU31" i="46"/>
  <c r="AT31" i="46"/>
  <c r="AS31" i="46"/>
  <c r="BG30" i="46"/>
  <c r="BF30" i="46"/>
  <c r="BE30" i="46"/>
  <c r="BD30" i="46"/>
  <c r="BC30" i="46"/>
  <c r="BB30" i="46"/>
  <c r="BA30" i="46"/>
  <c r="AZ30" i="46"/>
  <c r="AY30" i="46"/>
  <c r="AX30" i="46"/>
  <c r="AW30" i="46"/>
  <c r="AV30" i="46"/>
  <c r="AU30" i="46"/>
  <c r="AT30" i="46"/>
  <c r="AS30" i="46"/>
  <c r="BG29" i="46"/>
  <c r="BF29" i="46"/>
  <c r="BE29" i="46"/>
  <c r="BD29" i="46"/>
  <c r="BC29" i="46"/>
  <c r="BB29" i="46"/>
  <c r="BA29" i="46"/>
  <c r="AZ29" i="46"/>
  <c r="AY29" i="46"/>
  <c r="AX29" i="46"/>
  <c r="AW29" i="46"/>
  <c r="AV29" i="46"/>
  <c r="AU29" i="46"/>
  <c r="AT29" i="46"/>
  <c r="AS29" i="46"/>
  <c r="BG28" i="46"/>
  <c r="BF28" i="46"/>
  <c r="BE28" i="46"/>
  <c r="BD28" i="46"/>
  <c r="BC28" i="46"/>
  <c r="BB28" i="46"/>
  <c r="BA28" i="46"/>
  <c r="AZ28" i="46"/>
  <c r="AY28" i="46"/>
  <c r="AX28" i="46"/>
  <c r="AW28" i="46"/>
  <c r="AV28" i="46"/>
  <c r="AU28" i="46"/>
  <c r="AT28" i="46"/>
  <c r="AS28" i="46"/>
  <c r="BG27" i="46"/>
  <c r="BF27" i="46"/>
  <c r="BE27" i="46"/>
  <c r="BD27" i="46"/>
  <c r="BC27" i="46"/>
  <c r="BB27" i="46"/>
  <c r="BA27" i="46"/>
  <c r="AZ27" i="46"/>
  <c r="AY27" i="46"/>
  <c r="AX27" i="46"/>
  <c r="AW27" i="46"/>
  <c r="AV27" i="46"/>
  <c r="AU27" i="46"/>
  <c r="AT27" i="46"/>
  <c r="AS27" i="46"/>
  <c r="BG26" i="46"/>
  <c r="BF26" i="46"/>
  <c r="BE26" i="46"/>
  <c r="BD26" i="46"/>
  <c r="BC26" i="46"/>
  <c r="BB26" i="46"/>
  <c r="BA26" i="46"/>
  <c r="AZ26" i="46"/>
  <c r="AY26" i="46"/>
  <c r="AX26" i="46"/>
  <c r="AW26" i="46"/>
  <c r="AV26" i="46"/>
  <c r="AU26" i="46"/>
  <c r="AT26" i="46"/>
  <c r="AS26" i="46"/>
  <c r="H26" i="46"/>
  <c r="E26" i="46"/>
  <c r="C26" i="46"/>
  <c r="BG25" i="46"/>
  <c r="BF25" i="46"/>
  <c r="BE25" i="46"/>
  <c r="BD25" i="46"/>
  <c r="BC25" i="46"/>
  <c r="BB25" i="46"/>
  <c r="BA25" i="46"/>
  <c r="AZ25" i="46"/>
  <c r="AY25" i="46"/>
  <c r="AX25" i="46"/>
  <c r="AW25" i="46"/>
  <c r="AV25" i="46"/>
  <c r="AU25" i="46"/>
  <c r="AT25" i="46"/>
  <c r="AS25" i="46"/>
  <c r="E25" i="46"/>
  <c r="BG24" i="46"/>
  <c r="BF24" i="46"/>
  <c r="BE24" i="46"/>
  <c r="BD24" i="46"/>
  <c r="BC24" i="46"/>
  <c r="BB24" i="46"/>
  <c r="BA24" i="46"/>
  <c r="AZ24" i="46"/>
  <c r="AY24" i="46"/>
  <c r="AX24" i="46"/>
  <c r="AW24" i="46"/>
  <c r="AV24" i="46"/>
  <c r="AU24" i="46"/>
  <c r="AT24" i="46"/>
  <c r="AS24" i="46"/>
  <c r="BG23" i="46"/>
  <c r="BF23" i="46"/>
  <c r="BE23" i="46"/>
  <c r="BD23" i="46"/>
  <c r="BC23" i="46"/>
  <c r="BB23" i="46"/>
  <c r="BA23" i="46"/>
  <c r="AZ23" i="46"/>
  <c r="AY23" i="46"/>
  <c r="AX23" i="46"/>
  <c r="AW23" i="46"/>
  <c r="AV23" i="46"/>
  <c r="AU23" i="46"/>
  <c r="AT23" i="46"/>
  <c r="AS23" i="46"/>
  <c r="G23" i="46"/>
  <c r="G24" i="46" s="1"/>
  <c r="BG22" i="46"/>
  <c r="BF22" i="46"/>
  <c r="BE22" i="46"/>
  <c r="BD22" i="46"/>
  <c r="BC22" i="46"/>
  <c r="BB22" i="46"/>
  <c r="BA22" i="46"/>
  <c r="AZ22" i="46"/>
  <c r="AY22" i="46"/>
  <c r="AX22" i="46"/>
  <c r="AW22" i="46"/>
  <c r="AV22" i="46"/>
  <c r="AU22" i="46"/>
  <c r="AT22" i="46"/>
  <c r="AS22" i="46"/>
  <c r="BG21" i="46"/>
  <c r="BF21" i="46"/>
  <c r="BE21" i="46"/>
  <c r="BD21" i="46"/>
  <c r="BC21" i="46"/>
  <c r="BB21" i="46"/>
  <c r="BA21" i="46"/>
  <c r="AZ21" i="46"/>
  <c r="AY21" i="46"/>
  <c r="AX21" i="46"/>
  <c r="AW21" i="46"/>
  <c r="AV21" i="46"/>
  <c r="AU21" i="46"/>
  <c r="AT21" i="46"/>
  <c r="AS21" i="46"/>
  <c r="AN21" i="46"/>
  <c r="AM21" i="46"/>
  <c r="AL21" i="46"/>
  <c r="AK21" i="46"/>
  <c r="AJ21" i="46"/>
  <c r="AI21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BG20" i="46"/>
  <c r="BF20" i="46"/>
  <c r="BE20" i="46"/>
  <c r="BD20" i="46"/>
  <c r="BC20" i="46"/>
  <c r="BB20" i="46"/>
  <c r="BA20" i="46"/>
  <c r="AZ20" i="46"/>
  <c r="AY20" i="46"/>
  <c r="AX20" i="46"/>
  <c r="AW20" i="46"/>
  <c r="AV20" i="46"/>
  <c r="AU20" i="46"/>
  <c r="AT20" i="46"/>
  <c r="AS20" i="46"/>
  <c r="BG19" i="46"/>
  <c r="BF19" i="46"/>
  <c r="BE19" i="46"/>
  <c r="BD19" i="46"/>
  <c r="BC19" i="46"/>
  <c r="BB19" i="46"/>
  <c r="BA19" i="46"/>
  <c r="AZ19" i="46"/>
  <c r="AY19" i="46"/>
  <c r="AX19" i="46"/>
  <c r="AW19" i="46"/>
  <c r="AV19" i="46"/>
  <c r="AU19" i="46"/>
  <c r="AT19" i="46"/>
  <c r="AS19" i="46"/>
  <c r="BG18" i="46"/>
  <c r="BF18" i="46"/>
  <c r="BE18" i="46"/>
  <c r="BD18" i="46"/>
  <c r="BC18" i="46"/>
  <c r="BB18" i="46"/>
  <c r="BA18" i="46"/>
  <c r="AZ18" i="46"/>
  <c r="AY18" i="46"/>
  <c r="AX18" i="46"/>
  <c r="AW18" i="46"/>
  <c r="AV18" i="46"/>
  <c r="AU18" i="46"/>
  <c r="AT18" i="46"/>
  <c r="AS18" i="46"/>
  <c r="AK18" i="46"/>
  <c r="AH18" i="46"/>
  <c r="AE18" i="46"/>
  <c r="I18" i="46"/>
  <c r="D18" i="46"/>
  <c r="C25" i="46" s="1"/>
  <c r="BG17" i="46"/>
  <c r="BF17" i="46"/>
  <c r="BE17" i="46"/>
  <c r="BD17" i="46"/>
  <c r="BC17" i="46"/>
  <c r="BB17" i="46"/>
  <c r="BA17" i="46"/>
  <c r="AZ17" i="46"/>
  <c r="AY17" i="46"/>
  <c r="AX17" i="46"/>
  <c r="AW17" i="46"/>
  <c r="AV17" i="46"/>
  <c r="AU17" i="46"/>
  <c r="AT17" i="46"/>
  <c r="AS17" i="46"/>
  <c r="BG16" i="46"/>
  <c r="BF16" i="46"/>
  <c r="BE16" i="46"/>
  <c r="BD16" i="46"/>
  <c r="BC16" i="46"/>
  <c r="BB16" i="46"/>
  <c r="BA16" i="46"/>
  <c r="AZ16" i="46"/>
  <c r="AY16" i="46"/>
  <c r="AX16" i="46"/>
  <c r="AW16" i="46"/>
  <c r="AV16" i="46"/>
  <c r="AU16" i="46"/>
  <c r="AT16" i="46"/>
  <c r="AS16" i="46"/>
  <c r="AN16" i="46"/>
  <c r="AM16" i="46"/>
  <c r="AL16" i="46"/>
  <c r="AK16" i="46"/>
  <c r="AJ16" i="46"/>
  <c r="AI16" i="46"/>
  <c r="AH16" i="46"/>
  <c r="AG16" i="46"/>
  <c r="AF16" i="46"/>
  <c r="AE16" i="46"/>
  <c r="AD16" i="46"/>
  <c r="AC16" i="46"/>
  <c r="AB16" i="46"/>
  <c r="AA16" i="46"/>
  <c r="Z16" i="46"/>
  <c r="Y16" i="46"/>
  <c r="X16" i="46"/>
  <c r="W16" i="46"/>
  <c r="V16" i="46"/>
  <c r="U16" i="46"/>
  <c r="T16" i="46"/>
  <c r="S16" i="46"/>
  <c r="R16" i="46"/>
  <c r="Q16" i="46"/>
  <c r="P16" i="46"/>
  <c r="O16" i="46"/>
  <c r="N16" i="46"/>
  <c r="M16" i="46"/>
  <c r="L16" i="46"/>
  <c r="K16" i="46"/>
  <c r="J16" i="46"/>
  <c r="I16" i="46"/>
  <c r="H16" i="46"/>
  <c r="G16" i="46"/>
  <c r="BG15" i="46"/>
  <c r="BF15" i="46"/>
  <c r="BE15" i="46"/>
  <c r="BD15" i="46"/>
  <c r="BC15" i="46"/>
  <c r="BB15" i="46"/>
  <c r="BA15" i="46"/>
  <c r="AZ15" i="46"/>
  <c r="AY15" i="46"/>
  <c r="AX15" i="46"/>
  <c r="AW15" i="46"/>
  <c r="AV15" i="46"/>
  <c r="AU15" i="46"/>
  <c r="AT15" i="46"/>
  <c r="AS15" i="46"/>
  <c r="BG14" i="46"/>
  <c r="BF14" i="46"/>
  <c r="BE14" i="46"/>
  <c r="BD14" i="46"/>
  <c r="BC14" i="46"/>
  <c r="BB14" i="46"/>
  <c r="BA14" i="46"/>
  <c r="AZ14" i="46"/>
  <c r="AY14" i="46"/>
  <c r="AX14" i="46"/>
  <c r="AW14" i="46"/>
  <c r="AV14" i="46"/>
  <c r="AU14" i="46"/>
  <c r="AT14" i="46"/>
  <c r="AS14" i="46"/>
  <c r="AP14" i="46"/>
  <c r="E14" i="46"/>
  <c r="BG13" i="46"/>
  <c r="BF13" i="46"/>
  <c r="BE13" i="46"/>
  <c r="BD13" i="46"/>
  <c r="BC13" i="46"/>
  <c r="BB13" i="46"/>
  <c r="BA13" i="46"/>
  <c r="AZ13" i="46"/>
  <c r="AY13" i="46"/>
  <c r="AX13" i="46"/>
  <c r="AW13" i="46"/>
  <c r="AV13" i="46"/>
  <c r="AU13" i="46"/>
  <c r="AT13" i="46"/>
  <c r="AS13" i="46"/>
  <c r="E13" i="46"/>
  <c r="BG12" i="46"/>
  <c r="BF12" i="46"/>
  <c r="BE12" i="46"/>
  <c r="BD12" i="46"/>
  <c r="BC12" i="46"/>
  <c r="BB12" i="46"/>
  <c r="BA12" i="46"/>
  <c r="AZ12" i="46"/>
  <c r="AY12" i="46"/>
  <c r="AX12" i="46"/>
  <c r="AW12" i="46"/>
  <c r="AV12" i="46"/>
  <c r="AU12" i="46"/>
  <c r="AT12" i="46"/>
  <c r="AS12" i="46"/>
  <c r="E12" i="46"/>
  <c r="BG11" i="46"/>
  <c r="BF11" i="46"/>
  <c r="BE11" i="46"/>
  <c r="BD11" i="46"/>
  <c r="BC11" i="46"/>
  <c r="BB11" i="46"/>
  <c r="BA11" i="46"/>
  <c r="AZ11" i="46"/>
  <c r="AY11" i="46"/>
  <c r="AX11" i="46"/>
  <c r="AW11" i="46"/>
  <c r="AV11" i="46"/>
  <c r="AU11" i="46"/>
  <c r="AT11" i="46"/>
  <c r="AS11" i="46"/>
  <c r="AP11" i="46"/>
  <c r="E11" i="46"/>
  <c r="BG10" i="46"/>
  <c r="BF10" i="46"/>
  <c r="BE10" i="46"/>
  <c r="BD10" i="46"/>
  <c r="BC10" i="46"/>
  <c r="BB10" i="46"/>
  <c r="BA10" i="46"/>
  <c r="AZ10" i="46"/>
  <c r="AY10" i="46"/>
  <c r="AX10" i="46"/>
  <c r="AW10" i="46"/>
  <c r="AV10" i="46"/>
  <c r="AU10" i="46"/>
  <c r="AT10" i="46"/>
  <c r="AS10" i="46"/>
  <c r="E10" i="46"/>
  <c r="BG9" i="46"/>
  <c r="BF9" i="46"/>
  <c r="BE9" i="46"/>
  <c r="BD9" i="46"/>
  <c r="BC9" i="46"/>
  <c r="BB9" i="46"/>
  <c r="BA9" i="46"/>
  <c r="AZ9" i="46"/>
  <c r="AY9" i="46"/>
  <c r="AX9" i="46"/>
  <c r="AW9" i="46"/>
  <c r="AV9" i="46"/>
  <c r="AU9" i="46"/>
  <c r="AT9" i="46"/>
  <c r="AS9" i="46"/>
  <c r="AP9" i="46"/>
  <c r="E9" i="46"/>
  <c r="BG8" i="46"/>
  <c r="BF8" i="46"/>
  <c r="BE8" i="46"/>
  <c r="BD8" i="46"/>
  <c r="BC8" i="46"/>
  <c r="BB8" i="46"/>
  <c r="BA8" i="46"/>
  <c r="AZ8" i="46"/>
  <c r="AY8" i="46"/>
  <c r="AX8" i="46"/>
  <c r="AW8" i="46"/>
  <c r="AV8" i="46"/>
  <c r="AU8" i="46"/>
  <c r="AT8" i="46"/>
  <c r="AS8" i="46"/>
  <c r="E8" i="46"/>
  <c r="BG7" i="46"/>
  <c r="BF7" i="46"/>
  <c r="BE7" i="46"/>
  <c r="BD7" i="46"/>
  <c r="BC7" i="46"/>
  <c r="BB7" i="46"/>
  <c r="BA7" i="46"/>
  <c r="AZ7" i="46"/>
  <c r="AY7" i="46"/>
  <c r="AX7" i="46"/>
  <c r="AW7" i="46"/>
  <c r="AV7" i="46"/>
  <c r="AU7" i="46"/>
  <c r="AT7" i="46"/>
  <c r="AS7" i="46"/>
  <c r="AP7" i="46"/>
  <c r="E7" i="46"/>
  <c r="BG6" i="46"/>
  <c r="BF6" i="46"/>
  <c r="BE6" i="46"/>
  <c r="BD6" i="46"/>
  <c r="BC6" i="46"/>
  <c r="BB6" i="46"/>
  <c r="BA6" i="46"/>
  <c r="AZ6" i="46"/>
  <c r="AY6" i="46"/>
  <c r="AX6" i="46"/>
  <c r="AW6" i="46"/>
  <c r="AV6" i="46"/>
  <c r="AU6" i="46"/>
  <c r="AT6" i="46"/>
  <c r="AS6" i="46"/>
  <c r="E6" i="46"/>
  <c r="BG5" i="46"/>
  <c r="BF5" i="46"/>
  <c r="BE5" i="46"/>
  <c r="BD5" i="46"/>
  <c r="BC5" i="46"/>
  <c r="BB5" i="46"/>
  <c r="BA5" i="46"/>
  <c r="AZ5" i="46"/>
  <c r="AY5" i="46"/>
  <c r="AX5" i="46"/>
  <c r="AW5" i="46"/>
  <c r="AV5" i="46"/>
  <c r="AU5" i="46"/>
  <c r="AT5" i="46"/>
  <c r="AS5" i="46"/>
  <c r="E5" i="46"/>
  <c r="BG4" i="46"/>
  <c r="BF4" i="46"/>
  <c r="BE4" i="46"/>
  <c r="BD4" i="46"/>
  <c r="BC4" i="46"/>
  <c r="BB4" i="46"/>
  <c r="BA4" i="46"/>
  <c r="AZ4" i="46"/>
  <c r="AY4" i="46"/>
  <c r="AX4" i="46"/>
  <c r="AW4" i="46"/>
  <c r="AV4" i="46"/>
  <c r="AU4" i="46"/>
  <c r="AT4" i="46"/>
  <c r="AS4" i="46"/>
  <c r="AP4" i="46"/>
  <c r="E4" i="46"/>
  <c r="E18" i="46" s="1"/>
  <c r="BG3" i="46"/>
  <c r="BF3" i="46"/>
  <c r="BE3" i="46"/>
  <c r="BD3" i="46"/>
  <c r="BC3" i="46"/>
  <c r="BB3" i="46"/>
  <c r="BA3" i="46"/>
  <c r="AZ3" i="46"/>
  <c r="AY3" i="46"/>
  <c r="AX3" i="46"/>
  <c r="AW3" i="46"/>
  <c r="AV3" i="46"/>
  <c r="AU3" i="46"/>
  <c r="AT3" i="46"/>
  <c r="AS3" i="46"/>
  <c r="BG2" i="46"/>
  <c r="BF2" i="46"/>
  <c r="BE2" i="46"/>
  <c r="BD2" i="46"/>
  <c r="BC2" i="46"/>
  <c r="BB2" i="46"/>
  <c r="BA2" i="46"/>
  <c r="AZ2" i="46"/>
  <c r="AY2" i="46"/>
  <c r="AX2" i="46"/>
  <c r="AW2" i="46"/>
  <c r="AV2" i="46"/>
  <c r="AU2" i="46"/>
  <c r="AT2" i="46"/>
  <c r="AS2" i="46"/>
  <c r="BG62" i="45"/>
  <c r="BF62" i="45"/>
  <c r="BE62" i="45"/>
  <c r="BD62" i="45"/>
  <c r="BC62" i="45"/>
  <c r="BB62" i="45"/>
  <c r="BA62" i="45"/>
  <c r="AZ62" i="45"/>
  <c r="AY62" i="45"/>
  <c r="AX62" i="45"/>
  <c r="AW62" i="45"/>
  <c r="AV62" i="45"/>
  <c r="AU62" i="45"/>
  <c r="AT62" i="45"/>
  <c r="AS62" i="45"/>
  <c r="BG61" i="45"/>
  <c r="BF61" i="45"/>
  <c r="BE61" i="45"/>
  <c r="BD61" i="45"/>
  <c r="BC61" i="45"/>
  <c r="BB61" i="45"/>
  <c r="BA61" i="45"/>
  <c r="AZ61" i="45"/>
  <c r="AY61" i="45"/>
  <c r="AX61" i="45"/>
  <c r="AW61" i="45"/>
  <c r="AV61" i="45"/>
  <c r="AU61" i="45"/>
  <c r="AT61" i="45"/>
  <c r="AS61" i="45"/>
  <c r="BG60" i="45"/>
  <c r="BF60" i="45"/>
  <c r="BE60" i="45"/>
  <c r="BD60" i="45"/>
  <c r="BC60" i="45"/>
  <c r="BB60" i="45"/>
  <c r="BA60" i="45"/>
  <c r="AZ60" i="45"/>
  <c r="AY60" i="45"/>
  <c r="AX60" i="45"/>
  <c r="AW60" i="45"/>
  <c r="AV60" i="45"/>
  <c r="AU60" i="45"/>
  <c r="AT60" i="45"/>
  <c r="AS60" i="45"/>
  <c r="BG59" i="45"/>
  <c r="BF59" i="45"/>
  <c r="BE59" i="45"/>
  <c r="BD59" i="45"/>
  <c r="BC59" i="45"/>
  <c r="BB59" i="45"/>
  <c r="BA59" i="45"/>
  <c r="AZ59" i="45"/>
  <c r="AY59" i="45"/>
  <c r="AX59" i="45"/>
  <c r="AW59" i="45"/>
  <c r="AV59" i="45"/>
  <c r="AU59" i="45"/>
  <c r="AT59" i="45"/>
  <c r="AS59" i="45"/>
  <c r="BG58" i="45"/>
  <c r="BF58" i="45"/>
  <c r="BE58" i="45"/>
  <c r="BD58" i="45"/>
  <c r="BC58" i="45"/>
  <c r="BB58" i="45"/>
  <c r="BA58" i="45"/>
  <c r="AZ58" i="45"/>
  <c r="AY58" i="45"/>
  <c r="AX58" i="45"/>
  <c r="AW58" i="45"/>
  <c r="AV58" i="45"/>
  <c r="AU58" i="45"/>
  <c r="AT58" i="45"/>
  <c r="AS58" i="45"/>
  <c r="BG57" i="45"/>
  <c r="BF57" i="45"/>
  <c r="BE57" i="45"/>
  <c r="BD57" i="45"/>
  <c r="BC57" i="45"/>
  <c r="BB57" i="45"/>
  <c r="BA57" i="45"/>
  <c r="AZ57" i="45"/>
  <c r="AY57" i="45"/>
  <c r="AX57" i="45"/>
  <c r="AW57" i="45"/>
  <c r="AV57" i="45"/>
  <c r="AU57" i="45"/>
  <c r="AT57" i="45"/>
  <c r="AS57" i="45"/>
  <c r="BG56" i="45"/>
  <c r="BF56" i="45"/>
  <c r="BE56" i="45"/>
  <c r="BD56" i="45"/>
  <c r="BC56" i="45"/>
  <c r="BB56" i="45"/>
  <c r="BA56" i="45"/>
  <c r="AZ56" i="45"/>
  <c r="AY56" i="45"/>
  <c r="AX56" i="45"/>
  <c r="AW56" i="45"/>
  <c r="AV56" i="45"/>
  <c r="AU56" i="45"/>
  <c r="AT56" i="45"/>
  <c r="AS56" i="45"/>
  <c r="BG55" i="45"/>
  <c r="BF55" i="45"/>
  <c r="BE55" i="45"/>
  <c r="BD55" i="45"/>
  <c r="BC55" i="45"/>
  <c r="BB55" i="45"/>
  <c r="BA55" i="45"/>
  <c r="AZ55" i="45"/>
  <c r="AY55" i="45"/>
  <c r="AX55" i="45"/>
  <c r="AW55" i="45"/>
  <c r="AV55" i="45"/>
  <c r="AU55" i="45"/>
  <c r="AT55" i="45"/>
  <c r="AS55" i="45"/>
  <c r="BG54" i="45"/>
  <c r="BF54" i="45"/>
  <c r="BE54" i="45"/>
  <c r="BD54" i="45"/>
  <c r="BC54" i="45"/>
  <c r="BB54" i="45"/>
  <c r="BA54" i="45"/>
  <c r="AZ54" i="45"/>
  <c r="AY54" i="45"/>
  <c r="AX54" i="45"/>
  <c r="AW54" i="45"/>
  <c r="AV54" i="45"/>
  <c r="AU54" i="45"/>
  <c r="AT54" i="45"/>
  <c r="AS54" i="45"/>
  <c r="BG53" i="45"/>
  <c r="BF53" i="45"/>
  <c r="BE53" i="45"/>
  <c r="BD53" i="45"/>
  <c r="BC53" i="45"/>
  <c r="BB53" i="45"/>
  <c r="BA53" i="45"/>
  <c r="AZ53" i="45"/>
  <c r="AY53" i="45"/>
  <c r="AX53" i="45"/>
  <c r="AW53" i="45"/>
  <c r="AV53" i="45"/>
  <c r="AU53" i="45"/>
  <c r="AT53" i="45"/>
  <c r="AS53" i="45"/>
  <c r="BG52" i="45"/>
  <c r="BF52" i="45"/>
  <c r="BE52" i="45"/>
  <c r="BD52" i="45"/>
  <c r="BC52" i="45"/>
  <c r="BB52" i="45"/>
  <c r="BA52" i="45"/>
  <c r="AZ52" i="45"/>
  <c r="AY52" i="45"/>
  <c r="AX52" i="45"/>
  <c r="AW52" i="45"/>
  <c r="AV52" i="45"/>
  <c r="AU52" i="45"/>
  <c r="AT52" i="45"/>
  <c r="AS52" i="45"/>
  <c r="BG51" i="45"/>
  <c r="BF51" i="45"/>
  <c r="BE51" i="45"/>
  <c r="BD51" i="45"/>
  <c r="BC51" i="45"/>
  <c r="BB51" i="45"/>
  <c r="BA51" i="45"/>
  <c r="AZ51" i="45"/>
  <c r="AY51" i="45"/>
  <c r="AX51" i="45"/>
  <c r="AW51" i="45"/>
  <c r="AV51" i="45"/>
  <c r="AU51" i="45"/>
  <c r="AT51" i="45"/>
  <c r="AS51" i="45"/>
  <c r="BG50" i="45"/>
  <c r="BF50" i="45"/>
  <c r="BE50" i="45"/>
  <c r="BD50" i="45"/>
  <c r="BC50" i="45"/>
  <c r="BB50" i="45"/>
  <c r="BA50" i="45"/>
  <c r="AZ50" i="45"/>
  <c r="AY50" i="45"/>
  <c r="AX50" i="45"/>
  <c r="AW50" i="45"/>
  <c r="AV50" i="45"/>
  <c r="AU50" i="45"/>
  <c r="AT50" i="45"/>
  <c r="AS50" i="45"/>
  <c r="BG49" i="45"/>
  <c r="BF49" i="45"/>
  <c r="BE49" i="45"/>
  <c r="BD49" i="45"/>
  <c r="BC49" i="45"/>
  <c r="BB49" i="45"/>
  <c r="BA49" i="45"/>
  <c r="AZ49" i="45"/>
  <c r="AY49" i="45"/>
  <c r="AX49" i="45"/>
  <c r="AW49" i="45"/>
  <c r="AV49" i="45"/>
  <c r="AU49" i="45"/>
  <c r="AT49" i="45"/>
  <c r="AS49" i="45"/>
  <c r="BG48" i="45"/>
  <c r="BF48" i="45"/>
  <c r="BE48" i="45"/>
  <c r="BD48" i="45"/>
  <c r="BC48" i="45"/>
  <c r="BB48" i="45"/>
  <c r="BA48" i="45"/>
  <c r="AZ48" i="45"/>
  <c r="AY48" i="45"/>
  <c r="AX48" i="45"/>
  <c r="AW48" i="45"/>
  <c r="AV48" i="45"/>
  <c r="AU48" i="45"/>
  <c r="AT48" i="45"/>
  <c r="AS48" i="45"/>
  <c r="BG47" i="45"/>
  <c r="BF47" i="45"/>
  <c r="BE47" i="45"/>
  <c r="BD47" i="45"/>
  <c r="BC47" i="45"/>
  <c r="BB47" i="45"/>
  <c r="BA47" i="45"/>
  <c r="AZ47" i="45"/>
  <c r="AY47" i="45"/>
  <c r="AX47" i="45"/>
  <c r="AW47" i="45"/>
  <c r="AV47" i="45"/>
  <c r="AU47" i="45"/>
  <c r="AT47" i="45"/>
  <c r="AS47" i="45"/>
  <c r="BG46" i="45"/>
  <c r="BF46" i="45"/>
  <c r="BE46" i="45"/>
  <c r="BD46" i="45"/>
  <c r="BC46" i="45"/>
  <c r="BB46" i="45"/>
  <c r="BA46" i="45"/>
  <c r="AZ46" i="45"/>
  <c r="AY46" i="45"/>
  <c r="AX46" i="45"/>
  <c r="AW46" i="45"/>
  <c r="AV46" i="45"/>
  <c r="AU46" i="45"/>
  <c r="AT46" i="45"/>
  <c r="AS46" i="45"/>
  <c r="BG45" i="45"/>
  <c r="BF45" i="45"/>
  <c r="BE45" i="45"/>
  <c r="BD45" i="45"/>
  <c r="BC45" i="45"/>
  <c r="BB45" i="45"/>
  <c r="BA45" i="45"/>
  <c r="AZ45" i="45"/>
  <c r="AY45" i="45"/>
  <c r="AX45" i="45"/>
  <c r="AW45" i="45"/>
  <c r="AV45" i="45"/>
  <c r="AU45" i="45"/>
  <c r="AT45" i="45"/>
  <c r="AS45" i="45"/>
  <c r="BG44" i="45"/>
  <c r="BF44" i="45"/>
  <c r="BE44" i="45"/>
  <c r="BD44" i="45"/>
  <c r="BC44" i="45"/>
  <c r="BB44" i="45"/>
  <c r="BA44" i="45"/>
  <c r="AZ44" i="45"/>
  <c r="AY44" i="45"/>
  <c r="AX44" i="45"/>
  <c r="AW44" i="45"/>
  <c r="AV44" i="45"/>
  <c r="AU44" i="45"/>
  <c r="AT44" i="45"/>
  <c r="AS44" i="45"/>
  <c r="BG43" i="45"/>
  <c r="BF43" i="45"/>
  <c r="BE43" i="45"/>
  <c r="BD43" i="45"/>
  <c r="BC43" i="45"/>
  <c r="BB43" i="45"/>
  <c r="BA43" i="45"/>
  <c r="AZ43" i="45"/>
  <c r="AY43" i="45"/>
  <c r="AX43" i="45"/>
  <c r="AW43" i="45"/>
  <c r="AV43" i="45"/>
  <c r="AU43" i="45"/>
  <c r="AT43" i="45"/>
  <c r="AS43" i="45"/>
  <c r="BG42" i="45"/>
  <c r="BF42" i="45"/>
  <c r="BE42" i="45"/>
  <c r="BD42" i="45"/>
  <c r="BC42" i="45"/>
  <c r="BB42" i="45"/>
  <c r="BA42" i="45"/>
  <c r="AZ42" i="45"/>
  <c r="AY42" i="45"/>
  <c r="AX42" i="45"/>
  <c r="AW42" i="45"/>
  <c r="AV42" i="45"/>
  <c r="AU42" i="45"/>
  <c r="AT42" i="45"/>
  <c r="AS42" i="45"/>
  <c r="BG41" i="45"/>
  <c r="BF41" i="45"/>
  <c r="BE41" i="45"/>
  <c r="BD41" i="45"/>
  <c r="BC41" i="45"/>
  <c r="BB41" i="45"/>
  <c r="BA41" i="45"/>
  <c r="AZ41" i="45"/>
  <c r="AY41" i="45"/>
  <c r="AX41" i="45"/>
  <c r="AW41" i="45"/>
  <c r="AV41" i="45"/>
  <c r="AU41" i="45"/>
  <c r="AT41" i="45"/>
  <c r="AS41" i="45"/>
  <c r="BG40" i="45"/>
  <c r="BF40" i="45"/>
  <c r="BE40" i="45"/>
  <c r="BD40" i="45"/>
  <c r="BC40" i="45"/>
  <c r="BB40" i="45"/>
  <c r="BA40" i="45"/>
  <c r="AZ40" i="45"/>
  <c r="AY40" i="45"/>
  <c r="AX40" i="45"/>
  <c r="AW40" i="45"/>
  <c r="AV40" i="45"/>
  <c r="AU40" i="45"/>
  <c r="AT40" i="45"/>
  <c r="AS40" i="45"/>
  <c r="BG39" i="45"/>
  <c r="BF39" i="45"/>
  <c r="BE39" i="45"/>
  <c r="BD39" i="45"/>
  <c r="BC39" i="45"/>
  <c r="BB39" i="45"/>
  <c r="BA39" i="45"/>
  <c r="AZ39" i="45"/>
  <c r="AY39" i="45"/>
  <c r="AX39" i="45"/>
  <c r="AW39" i="45"/>
  <c r="AV39" i="45"/>
  <c r="AU39" i="45"/>
  <c r="AT39" i="45"/>
  <c r="AS39" i="45"/>
  <c r="BG38" i="45"/>
  <c r="BF38" i="45"/>
  <c r="BE38" i="45"/>
  <c r="BD38" i="45"/>
  <c r="BC38" i="45"/>
  <c r="BB38" i="45"/>
  <c r="BA38" i="45"/>
  <c r="AZ38" i="45"/>
  <c r="AY38" i="45"/>
  <c r="AX38" i="45"/>
  <c r="AW38" i="45"/>
  <c r="AV38" i="45"/>
  <c r="AU38" i="45"/>
  <c r="AT38" i="45"/>
  <c r="AS38" i="45"/>
  <c r="BG37" i="45"/>
  <c r="BF37" i="45"/>
  <c r="BE37" i="45"/>
  <c r="BD37" i="45"/>
  <c r="BC37" i="45"/>
  <c r="BB37" i="45"/>
  <c r="BA37" i="45"/>
  <c r="AZ37" i="45"/>
  <c r="AY37" i="45"/>
  <c r="AX37" i="45"/>
  <c r="AW37" i="45"/>
  <c r="AV37" i="45"/>
  <c r="AU37" i="45"/>
  <c r="AT37" i="45"/>
  <c r="AS37" i="45"/>
  <c r="BG36" i="45"/>
  <c r="BF36" i="45"/>
  <c r="BE36" i="45"/>
  <c r="BD36" i="45"/>
  <c r="BC36" i="45"/>
  <c r="BB36" i="45"/>
  <c r="BA36" i="45"/>
  <c r="AZ36" i="45"/>
  <c r="AY36" i="45"/>
  <c r="AX36" i="45"/>
  <c r="AW36" i="45"/>
  <c r="AV36" i="45"/>
  <c r="AU36" i="45"/>
  <c r="AT36" i="45"/>
  <c r="AS36" i="45"/>
  <c r="BG35" i="45"/>
  <c r="BF35" i="45"/>
  <c r="BE35" i="45"/>
  <c r="BD35" i="45"/>
  <c r="BC35" i="45"/>
  <c r="BB35" i="45"/>
  <c r="BA35" i="45"/>
  <c r="AZ35" i="45"/>
  <c r="AY35" i="45"/>
  <c r="AX35" i="45"/>
  <c r="AW35" i="45"/>
  <c r="AV35" i="45"/>
  <c r="AU35" i="45"/>
  <c r="AT35" i="45"/>
  <c r="AS35" i="45"/>
  <c r="BG34" i="45"/>
  <c r="BF34" i="45"/>
  <c r="BE34" i="45"/>
  <c r="BD34" i="45"/>
  <c r="BC34" i="45"/>
  <c r="BB34" i="45"/>
  <c r="BA34" i="45"/>
  <c r="AZ34" i="45"/>
  <c r="AY34" i="45"/>
  <c r="AX34" i="45"/>
  <c r="AW34" i="45"/>
  <c r="AV34" i="45"/>
  <c r="AU34" i="45"/>
  <c r="AT34" i="45"/>
  <c r="AS34" i="45"/>
  <c r="BG33" i="45"/>
  <c r="BF33" i="45"/>
  <c r="BE33" i="45"/>
  <c r="BD33" i="45"/>
  <c r="BC33" i="45"/>
  <c r="BB33" i="45"/>
  <c r="BA33" i="45"/>
  <c r="AZ33" i="45"/>
  <c r="AY33" i="45"/>
  <c r="AX33" i="45"/>
  <c r="AW33" i="45"/>
  <c r="AV33" i="45"/>
  <c r="AU33" i="45"/>
  <c r="AT33" i="45"/>
  <c r="AS33" i="45"/>
  <c r="BG32" i="45"/>
  <c r="BF32" i="45"/>
  <c r="BE32" i="45"/>
  <c r="BD32" i="45"/>
  <c r="BC32" i="45"/>
  <c r="BB32" i="45"/>
  <c r="BA32" i="45"/>
  <c r="AZ32" i="45"/>
  <c r="AY32" i="45"/>
  <c r="AX32" i="45"/>
  <c r="AW32" i="45"/>
  <c r="AV32" i="45"/>
  <c r="AU32" i="45"/>
  <c r="AT32" i="45"/>
  <c r="AS32" i="45"/>
  <c r="BG31" i="45"/>
  <c r="BF31" i="45"/>
  <c r="BE31" i="45"/>
  <c r="BD31" i="45"/>
  <c r="BC31" i="45"/>
  <c r="BB31" i="45"/>
  <c r="BA31" i="45"/>
  <c r="AZ31" i="45"/>
  <c r="AY31" i="45"/>
  <c r="AX31" i="45"/>
  <c r="AW31" i="45"/>
  <c r="AV31" i="45"/>
  <c r="AU31" i="45"/>
  <c r="AT31" i="45"/>
  <c r="AS31" i="45"/>
  <c r="BG30" i="45"/>
  <c r="BF30" i="45"/>
  <c r="BE30" i="45"/>
  <c r="BD30" i="45"/>
  <c r="BC30" i="45"/>
  <c r="BB30" i="45"/>
  <c r="BA30" i="45"/>
  <c r="AZ30" i="45"/>
  <c r="AY30" i="45"/>
  <c r="AX30" i="45"/>
  <c r="AW30" i="45"/>
  <c r="AV30" i="45"/>
  <c r="AU30" i="45"/>
  <c r="AT30" i="45"/>
  <c r="AS30" i="45"/>
  <c r="BG29" i="45"/>
  <c r="BF29" i="45"/>
  <c r="BE29" i="45"/>
  <c r="BD29" i="45"/>
  <c r="BC29" i="45"/>
  <c r="BB29" i="45"/>
  <c r="BA29" i="45"/>
  <c r="AZ29" i="45"/>
  <c r="AY29" i="45"/>
  <c r="AX29" i="45"/>
  <c r="AW29" i="45"/>
  <c r="AV29" i="45"/>
  <c r="AU29" i="45"/>
  <c r="AT29" i="45"/>
  <c r="AS29" i="45"/>
  <c r="BG28" i="45"/>
  <c r="BF28" i="45"/>
  <c r="BE28" i="45"/>
  <c r="BD28" i="45"/>
  <c r="BC28" i="45"/>
  <c r="BB28" i="45"/>
  <c r="BA28" i="45"/>
  <c r="AZ28" i="45"/>
  <c r="AY28" i="45"/>
  <c r="AX28" i="45"/>
  <c r="AW28" i="45"/>
  <c r="AV28" i="45"/>
  <c r="AU28" i="45"/>
  <c r="AT28" i="45"/>
  <c r="AS28" i="45"/>
  <c r="BG27" i="45"/>
  <c r="BF27" i="45"/>
  <c r="BE27" i="45"/>
  <c r="BD27" i="45"/>
  <c r="BC27" i="45"/>
  <c r="BB27" i="45"/>
  <c r="BA27" i="45"/>
  <c r="AZ27" i="45"/>
  <c r="AY27" i="45"/>
  <c r="AX27" i="45"/>
  <c r="AW27" i="45"/>
  <c r="AV27" i="45"/>
  <c r="AU27" i="45"/>
  <c r="AT27" i="45"/>
  <c r="AS27" i="45"/>
  <c r="BG26" i="45"/>
  <c r="BF26" i="45"/>
  <c r="BE26" i="45"/>
  <c r="BD26" i="45"/>
  <c r="BC26" i="45"/>
  <c r="BB26" i="45"/>
  <c r="BA26" i="45"/>
  <c r="AZ26" i="45"/>
  <c r="AY26" i="45"/>
  <c r="AX26" i="45"/>
  <c r="AW26" i="45"/>
  <c r="AV26" i="45"/>
  <c r="AU26" i="45"/>
  <c r="AT26" i="45"/>
  <c r="AS26" i="45"/>
  <c r="H26" i="45"/>
  <c r="E26" i="45"/>
  <c r="C26" i="45"/>
  <c r="BG25" i="45"/>
  <c r="BF25" i="45"/>
  <c r="BE25" i="45"/>
  <c r="BD25" i="45"/>
  <c r="BC25" i="45"/>
  <c r="BB25" i="45"/>
  <c r="BA25" i="45"/>
  <c r="AZ25" i="45"/>
  <c r="AY25" i="45"/>
  <c r="AX25" i="45"/>
  <c r="AW25" i="45"/>
  <c r="AV25" i="45"/>
  <c r="AU25" i="45"/>
  <c r="AT25" i="45"/>
  <c r="AS25" i="45"/>
  <c r="E25" i="45"/>
  <c r="BG24" i="45"/>
  <c r="BF24" i="45"/>
  <c r="BE24" i="45"/>
  <c r="BD24" i="45"/>
  <c r="BC24" i="45"/>
  <c r="BB24" i="45"/>
  <c r="BA24" i="45"/>
  <c r="AZ24" i="45"/>
  <c r="AY24" i="45"/>
  <c r="AX24" i="45"/>
  <c r="AW24" i="45"/>
  <c r="AV24" i="45"/>
  <c r="AU24" i="45"/>
  <c r="AT24" i="45"/>
  <c r="AS24" i="45"/>
  <c r="BG23" i="45"/>
  <c r="BF23" i="45"/>
  <c r="BE23" i="45"/>
  <c r="BD23" i="45"/>
  <c r="BC23" i="45"/>
  <c r="BB23" i="45"/>
  <c r="BA23" i="45"/>
  <c r="AZ23" i="45"/>
  <c r="AY23" i="45"/>
  <c r="AX23" i="45"/>
  <c r="AW23" i="45"/>
  <c r="AV23" i="45"/>
  <c r="AU23" i="45"/>
  <c r="AT23" i="45"/>
  <c r="AS23" i="45"/>
  <c r="G23" i="45"/>
  <c r="G24" i="45" s="1"/>
  <c r="BG22" i="45"/>
  <c r="BF22" i="45"/>
  <c r="BE22" i="45"/>
  <c r="BD22" i="45"/>
  <c r="BC22" i="45"/>
  <c r="BB22" i="45"/>
  <c r="BA22" i="45"/>
  <c r="AZ22" i="45"/>
  <c r="AY22" i="45"/>
  <c r="AX22" i="45"/>
  <c r="AW22" i="45"/>
  <c r="AV22" i="45"/>
  <c r="AU22" i="45"/>
  <c r="AT22" i="45"/>
  <c r="AS22" i="45"/>
  <c r="BG21" i="45"/>
  <c r="BF21" i="45"/>
  <c r="BE21" i="45"/>
  <c r="BD21" i="45"/>
  <c r="BC21" i="45"/>
  <c r="BB21" i="45"/>
  <c r="BA21" i="45"/>
  <c r="AZ21" i="45"/>
  <c r="AY21" i="45"/>
  <c r="AX21" i="45"/>
  <c r="AW21" i="45"/>
  <c r="AV21" i="45"/>
  <c r="AU21" i="45"/>
  <c r="AT21" i="45"/>
  <c r="AS21" i="45"/>
  <c r="AN21" i="45"/>
  <c r="AM21" i="45"/>
  <c r="AL21" i="45"/>
  <c r="AK21" i="45"/>
  <c r="AJ21" i="45"/>
  <c r="AI21" i="45"/>
  <c r="AH21" i="45"/>
  <c r="AG21" i="45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T21" i="45"/>
  <c r="S21" i="45"/>
  <c r="R21" i="45"/>
  <c r="Q21" i="45"/>
  <c r="P21" i="45"/>
  <c r="O21" i="45"/>
  <c r="N21" i="45"/>
  <c r="M21" i="45"/>
  <c r="L21" i="45"/>
  <c r="K21" i="45"/>
  <c r="J21" i="45"/>
  <c r="I21" i="45"/>
  <c r="H21" i="45"/>
  <c r="G21" i="45"/>
  <c r="BG20" i="45"/>
  <c r="BF20" i="45"/>
  <c r="BE20" i="45"/>
  <c r="BD20" i="45"/>
  <c r="BC20" i="45"/>
  <c r="BB20" i="45"/>
  <c r="BA20" i="45"/>
  <c r="AZ20" i="45"/>
  <c r="AY20" i="45"/>
  <c r="AX20" i="45"/>
  <c r="AW20" i="45"/>
  <c r="AV20" i="45"/>
  <c r="AU20" i="45"/>
  <c r="AT20" i="45"/>
  <c r="AS20" i="45"/>
  <c r="BG19" i="45"/>
  <c r="BF19" i="45"/>
  <c r="BE19" i="45"/>
  <c r="BD19" i="45"/>
  <c r="BC19" i="45"/>
  <c r="BB19" i="45"/>
  <c r="BA19" i="45"/>
  <c r="AZ19" i="45"/>
  <c r="AY19" i="45"/>
  <c r="AX19" i="45"/>
  <c r="AW19" i="45"/>
  <c r="AV19" i="45"/>
  <c r="AU19" i="45"/>
  <c r="AT19" i="45"/>
  <c r="AS19" i="45"/>
  <c r="BG18" i="45"/>
  <c r="BF18" i="45"/>
  <c r="BE18" i="45"/>
  <c r="BD18" i="45"/>
  <c r="BC18" i="45"/>
  <c r="BB18" i="45"/>
  <c r="BA18" i="45"/>
  <c r="AZ18" i="45"/>
  <c r="AY18" i="45"/>
  <c r="AX18" i="45"/>
  <c r="AW18" i="45"/>
  <c r="AV18" i="45"/>
  <c r="AU18" i="45"/>
  <c r="AT18" i="45"/>
  <c r="AS18" i="45"/>
  <c r="AK18" i="45"/>
  <c r="AH18" i="45"/>
  <c r="AE18" i="45"/>
  <c r="I18" i="45"/>
  <c r="D18" i="45"/>
  <c r="C25" i="45" s="1"/>
  <c r="BG17" i="45"/>
  <c r="BF17" i="45"/>
  <c r="BE17" i="45"/>
  <c r="BD17" i="45"/>
  <c r="BC17" i="45"/>
  <c r="BB17" i="45"/>
  <c r="BA17" i="45"/>
  <c r="AZ17" i="45"/>
  <c r="AY17" i="45"/>
  <c r="AX17" i="45"/>
  <c r="AW17" i="45"/>
  <c r="AV17" i="45"/>
  <c r="AU17" i="45"/>
  <c r="AT17" i="45"/>
  <c r="AS17" i="45"/>
  <c r="BG16" i="45"/>
  <c r="BF16" i="45"/>
  <c r="BE16" i="45"/>
  <c r="BD16" i="45"/>
  <c r="BC16" i="45"/>
  <c r="BB16" i="45"/>
  <c r="BA16" i="45"/>
  <c r="AZ16" i="45"/>
  <c r="AY16" i="45"/>
  <c r="AX16" i="45"/>
  <c r="AW16" i="45"/>
  <c r="AV16" i="45"/>
  <c r="AU16" i="45"/>
  <c r="AT16" i="45"/>
  <c r="AS16" i="45"/>
  <c r="AN16" i="45"/>
  <c r="AM16" i="45"/>
  <c r="AL16" i="45"/>
  <c r="AK16" i="45"/>
  <c r="AJ16" i="45"/>
  <c r="AI16" i="45"/>
  <c r="AH16" i="45"/>
  <c r="AG16" i="45"/>
  <c r="AF16" i="45"/>
  <c r="AE16" i="45"/>
  <c r="AD16" i="45"/>
  <c r="AC16" i="45"/>
  <c r="AB16" i="45"/>
  <c r="AA16" i="45"/>
  <c r="Z16" i="45"/>
  <c r="Y16" i="45"/>
  <c r="X16" i="45"/>
  <c r="W16" i="45"/>
  <c r="V16" i="45"/>
  <c r="U16" i="45"/>
  <c r="T16" i="45"/>
  <c r="S16" i="45"/>
  <c r="R16" i="45"/>
  <c r="Q16" i="45"/>
  <c r="P16" i="45"/>
  <c r="O16" i="45"/>
  <c r="N16" i="45"/>
  <c r="M16" i="45"/>
  <c r="L16" i="45"/>
  <c r="K16" i="45"/>
  <c r="J16" i="45"/>
  <c r="I16" i="45"/>
  <c r="H16" i="45"/>
  <c r="G16" i="45"/>
  <c r="BG15" i="45"/>
  <c r="BF15" i="45"/>
  <c r="BE15" i="45"/>
  <c r="BD15" i="45"/>
  <c r="BC15" i="45"/>
  <c r="BB15" i="45"/>
  <c r="BA15" i="45"/>
  <c r="AZ15" i="45"/>
  <c r="AY15" i="45"/>
  <c r="AX15" i="45"/>
  <c r="AW15" i="45"/>
  <c r="AV15" i="45"/>
  <c r="AU15" i="45"/>
  <c r="AT15" i="45"/>
  <c r="AS15" i="45"/>
  <c r="BG14" i="45"/>
  <c r="BF14" i="45"/>
  <c r="BE14" i="45"/>
  <c r="BD14" i="45"/>
  <c r="BC14" i="45"/>
  <c r="BB14" i="45"/>
  <c r="BA14" i="45"/>
  <c r="AZ14" i="45"/>
  <c r="AY14" i="45"/>
  <c r="AX14" i="45"/>
  <c r="AW14" i="45"/>
  <c r="AV14" i="45"/>
  <c r="AU14" i="45"/>
  <c r="AT14" i="45"/>
  <c r="AS14" i="45"/>
  <c r="AP14" i="45"/>
  <c r="E14" i="45"/>
  <c r="BG13" i="45"/>
  <c r="BF13" i="45"/>
  <c r="BE13" i="45"/>
  <c r="BD13" i="45"/>
  <c r="BC13" i="45"/>
  <c r="BB13" i="45"/>
  <c r="BA13" i="45"/>
  <c r="AZ13" i="45"/>
  <c r="AY13" i="45"/>
  <c r="AX13" i="45"/>
  <c r="AW13" i="45"/>
  <c r="AV13" i="45"/>
  <c r="AU13" i="45"/>
  <c r="AT13" i="45"/>
  <c r="AS13" i="45"/>
  <c r="E13" i="45"/>
  <c r="BG12" i="45"/>
  <c r="BF12" i="45"/>
  <c r="BE12" i="45"/>
  <c r="BD12" i="45"/>
  <c r="BC12" i="45"/>
  <c r="BB12" i="45"/>
  <c r="BA12" i="45"/>
  <c r="AZ12" i="45"/>
  <c r="AY12" i="45"/>
  <c r="AX12" i="45"/>
  <c r="AW12" i="45"/>
  <c r="AV12" i="45"/>
  <c r="AU12" i="45"/>
  <c r="AT12" i="45"/>
  <c r="AS12" i="45"/>
  <c r="E12" i="45"/>
  <c r="BG11" i="45"/>
  <c r="BF11" i="45"/>
  <c r="BE11" i="45"/>
  <c r="BD11" i="45"/>
  <c r="BC11" i="45"/>
  <c r="BB11" i="45"/>
  <c r="BA11" i="45"/>
  <c r="AZ11" i="45"/>
  <c r="AY11" i="45"/>
  <c r="AX11" i="45"/>
  <c r="AW11" i="45"/>
  <c r="AV11" i="45"/>
  <c r="AU11" i="45"/>
  <c r="AT11" i="45"/>
  <c r="AS11" i="45"/>
  <c r="AP11" i="45"/>
  <c r="E11" i="45"/>
  <c r="BG10" i="45"/>
  <c r="BF10" i="45"/>
  <c r="BE10" i="45"/>
  <c r="BD10" i="45"/>
  <c r="BC10" i="45"/>
  <c r="BB10" i="45"/>
  <c r="BA10" i="45"/>
  <c r="AZ10" i="45"/>
  <c r="AY10" i="45"/>
  <c r="AX10" i="45"/>
  <c r="AW10" i="45"/>
  <c r="AV10" i="45"/>
  <c r="AU10" i="45"/>
  <c r="AT10" i="45"/>
  <c r="AS10" i="45"/>
  <c r="E10" i="45"/>
  <c r="BG9" i="45"/>
  <c r="BF9" i="45"/>
  <c r="BE9" i="45"/>
  <c r="BD9" i="45"/>
  <c r="BC9" i="45"/>
  <c r="BB9" i="45"/>
  <c r="BA9" i="45"/>
  <c r="AZ9" i="45"/>
  <c r="AY9" i="45"/>
  <c r="AX9" i="45"/>
  <c r="AW9" i="45"/>
  <c r="AV9" i="45"/>
  <c r="AU9" i="45"/>
  <c r="AT9" i="45"/>
  <c r="AS9" i="45"/>
  <c r="AP9" i="45"/>
  <c r="E9" i="45"/>
  <c r="BG8" i="45"/>
  <c r="BF8" i="45"/>
  <c r="BE8" i="45"/>
  <c r="BD8" i="45"/>
  <c r="BC8" i="45"/>
  <c r="BB8" i="45"/>
  <c r="BA8" i="45"/>
  <c r="AZ8" i="45"/>
  <c r="AY8" i="45"/>
  <c r="AX8" i="45"/>
  <c r="AW8" i="45"/>
  <c r="AV8" i="45"/>
  <c r="AU8" i="45"/>
  <c r="AT8" i="45"/>
  <c r="AS8" i="45"/>
  <c r="E8" i="45"/>
  <c r="BG7" i="45"/>
  <c r="BF7" i="45"/>
  <c r="BE7" i="45"/>
  <c r="BD7" i="45"/>
  <c r="BC7" i="45"/>
  <c r="BB7" i="45"/>
  <c r="BA7" i="45"/>
  <c r="AZ7" i="45"/>
  <c r="AY7" i="45"/>
  <c r="AX7" i="45"/>
  <c r="AW7" i="45"/>
  <c r="AV7" i="45"/>
  <c r="AU7" i="45"/>
  <c r="AT7" i="45"/>
  <c r="AS7" i="45"/>
  <c r="AP7" i="45"/>
  <c r="E7" i="45"/>
  <c r="BG6" i="45"/>
  <c r="BF6" i="45"/>
  <c r="BE6" i="45"/>
  <c r="BD6" i="45"/>
  <c r="BC6" i="45"/>
  <c r="BB6" i="45"/>
  <c r="BA6" i="45"/>
  <c r="AZ6" i="45"/>
  <c r="AY6" i="45"/>
  <c r="AX6" i="45"/>
  <c r="AW6" i="45"/>
  <c r="AV6" i="45"/>
  <c r="AU6" i="45"/>
  <c r="AT6" i="45"/>
  <c r="AS6" i="45"/>
  <c r="E6" i="45"/>
  <c r="BG5" i="45"/>
  <c r="BF5" i="45"/>
  <c r="BE5" i="45"/>
  <c r="BD5" i="45"/>
  <c r="BC5" i="45"/>
  <c r="BB5" i="45"/>
  <c r="BA5" i="45"/>
  <c r="AZ5" i="45"/>
  <c r="AY5" i="45"/>
  <c r="AX5" i="45"/>
  <c r="AW5" i="45"/>
  <c r="AV5" i="45"/>
  <c r="AU5" i="45"/>
  <c r="AT5" i="45"/>
  <c r="AS5" i="45"/>
  <c r="E5" i="45"/>
  <c r="BG4" i="45"/>
  <c r="BF4" i="45"/>
  <c r="BE4" i="45"/>
  <c r="BD4" i="45"/>
  <c r="BC4" i="45"/>
  <c r="BB4" i="45"/>
  <c r="BA4" i="45"/>
  <c r="AZ4" i="45"/>
  <c r="AY4" i="45"/>
  <c r="AX4" i="45"/>
  <c r="AW4" i="45"/>
  <c r="AV4" i="45"/>
  <c r="AU4" i="45"/>
  <c r="AT4" i="45"/>
  <c r="AS4" i="45"/>
  <c r="AP4" i="45"/>
  <c r="E4" i="45"/>
  <c r="E18" i="45" s="1"/>
  <c r="BG3" i="45"/>
  <c r="BF3" i="45"/>
  <c r="BE3" i="45"/>
  <c r="BD3" i="45"/>
  <c r="BC3" i="45"/>
  <c r="BB3" i="45"/>
  <c r="BA3" i="45"/>
  <c r="AZ3" i="45"/>
  <c r="AY3" i="45"/>
  <c r="AX3" i="45"/>
  <c r="AW3" i="45"/>
  <c r="AV3" i="45"/>
  <c r="AU3" i="45"/>
  <c r="AT3" i="45"/>
  <c r="AS3" i="45"/>
  <c r="BG2" i="45"/>
  <c r="BF2" i="45"/>
  <c r="BE2" i="45"/>
  <c r="BD2" i="45"/>
  <c r="BC2" i="45"/>
  <c r="BB2" i="45"/>
  <c r="BA2" i="45"/>
  <c r="AZ2" i="45"/>
  <c r="AY2" i="45"/>
  <c r="AX2" i="45"/>
  <c r="AW2" i="45"/>
  <c r="AV2" i="45"/>
  <c r="AU2" i="45"/>
  <c r="AT2" i="45"/>
  <c r="AS2" i="45"/>
  <c r="BG62" i="44"/>
  <c r="BF62" i="44"/>
  <c r="BE62" i="44"/>
  <c r="BD62" i="44"/>
  <c r="BC62" i="44"/>
  <c r="BB62" i="44"/>
  <c r="BA62" i="44"/>
  <c r="AZ62" i="44"/>
  <c r="AY62" i="44"/>
  <c r="AX62" i="44"/>
  <c r="AW62" i="44"/>
  <c r="AV62" i="44"/>
  <c r="AU62" i="44"/>
  <c r="AT62" i="44"/>
  <c r="AS62" i="44"/>
  <c r="BG61" i="44"/>
  <c r="BF61" i="44"/>
  <c r="BE61" i="44"/>
  <c r="BD61" i="44"/>
  <c r="BC61" i="44"/>
  <c r="BB61" i="44"/>
  <c r="BA61" i="44"/>
  <c r="AZ61" i="44"/>
  <c r="AY61" i="44"/>
  <c r="AX61" i="44"/>
  <c r="AW61" i="44"/>
  <c r="AV61" i="44"/>
  <c r="AU61" i="44"/>
  <c r="AT61" i="44"/>
  <c r="AS61" i="44"/>
  <c r="BG60" i="44"/>
  <c r="BF60" i="44"/>
  <c r="BE60" i="44"/>
  <c r="BD60" i="44"/>
  <c r="BC60" i="44"/>
  <c r="BB60" i="44"/>
  <c r="BA60" i="44"/>
  <c r="AZ60" i="44"/>
  <c r="AY60" i="44"/>
  <c r="AX60" i="44"/>
  <c r="AW60" i="44"/>
  <c r="AV60" i="44"/>
  <c r="AU60" i="44"/>
  <c r="AT60" i="44"/>
  <c r="AS60" i="44"/>
  <c r="BG59" i="44"/>
  <c r="BF59" i="44"/>
  <c r="BE59" i="44"/>
  <c r="BD59" i="44"/>
  <c r="BC59" i="44"/>
  <c r="BB59" i="44"/>
  <c r="BA59" i="44"/>
  <c r="AZ59" i="44"/>
  <c r="AY59" i="44"/>
  <c r="AX59" i="44"/>
  <c r="AW59" i="44"/>
  <c r="AV59" i="44"/>
  <c r="AU59" i="44"/>
  <c r="AT59" i="44"/>
  <c r="AS59" i="44"/>
  <c r="BG58" i="44"/>
  <c r="BF58" i="44"/>
  <c r="BE58" i="44"/>
  <c r="BD58" i="44"/>
  <c r="BC58" i="44"/>
  <c r="BB58" i="44"/>
  <c r="BA58" i="44"/>
  <c r="AZ58" i="44"/>
  <c r="AY58" i="44"/>
  <c r="AX58" i="44"/>
  <c r="AW58" i="44"/>
  <c r="AV58" i="44"/>
  <c r="AU58" i="44"/>
  <c r="AT58" i="44"/>
  <c r="AS58" i="44"/>
  <c r="BG57" i="44"/>
  <c r="BF57" i="44"/>
  <c r="BE57" i="44"/>
  <c r="BD57" i="44"/>
  <c r="BC57" i="44"/>
  <c r="BB57" i="44"/>
  <c r="BA57" i="44"/>
  <c r="AZ57" i="44"/>
  <c r="AY57" i="44"/>
  <c r="AX57" i="44"/>
  <c r="AW57" i="44"/>
  <c r="AV57" i="44"/>
  <c r="AU57" i="44"/>
  <c r="AT57" i="44"/>
  <c r="AS57" i="44"/>
  <c r="BG56" i="44"/>
  <c r="BF56" i="44"/>
  <c r="BE56" i="44"/>
  <c r="BD56" i="44"/>
  <c r="BC56" i="44"/>
  <c r="BB56" i="44"/>
  <c r="BA56" i="44"/>
  <c r="AZ56" i="44"/>
  <c r="AY56" i="44"/>
  <c r="AX56" i="44"/>
  <c r="AW56" i="44"/>
  <c r="AV56" i="44"/>
  <c r="AU56" i="44"/>
  <c r="AT56" i="44"/>
  <c r="AS56" i="44"/>
  <c r="BG55" i="44"/>
  <c r="BF55" i="44"/>
  <c r="BE55" i="44"/>
  <c r="BD55" i="44"/>
  <c r="BC55" i="44"/>
  <c r="BB55" i="44"/>
  <c r="BA55" i="44"/>
  <c r="AZ55" i="44"/>
  <c r="AY55" i="44"/>
  <c r="AX55" i="44"/>
  <c r="AW55" i="44"/>
  <c r="AV55" i="44"/>
  <c r="AU55" i="44"/>
  <c r="AT55" i="44"/>
  <c r="AS55" i="44"/>
  <c r="BG54" i="44"/>
  <c r="BF54" i="44"/>
  <c r="BE54" i="44"/>
  <c r="BD54" i="44"/>
  <c r="BC54" i="44"/>
  <c r="BB54" i="44"/>
  <c r="BA54" i="44"/>
  <c r="AZ54" i="44"/>
  <c r="AY54" i="44"/>
  <c r="AX54" i="44"/>
  <c r="AW54" i="44"/>
  <c r="AV54" i="44"/>
  <c r="AU54" i="44"/>
  <c r="AT54" i="44"/>
  <c r="AS54" i="44"/>
  <c r="BG53" i="44"/>
  <c r="BF53" i="44"/>
  <c r="BE53" i="44"/>
  <c r="BD53" i="44"/>
  <c r="BC53" i="44"/>
  <c r="BB53" i="44"/>
  <c r="BA53" i="44"/>
  <c r="AZ53" i="44"/>
  <c r="AY53" i="44"/>
  <c r="AX53" i="44"/>
  <c r="AW53" i="44"/>
  <c r="AV53" i="44"/>
  <c r="AU53" i="44"/>
  <c r="AT53" i="44"/>
  <c r="AS53" i="44"/>
  <c r="BG52" i="44"/>
  <c r="BF52" i="44"/>
  <c r="BE52" i="44"/>
  <c r="BD52" i="44"/>
  <c r="BC52" i="44"/>
  <c r="BB52" i="44"/>
  <c r="BA52" i="44"/>
  <c r="AZ52" i="44"/>
  <c r="AY52" i="44"/>
  <c r="AX52" i="44"/>
  <c r="AW52" i="44"/>
  <c r="AV52" i="44"/>
  <c r="AU52" i="44"/>
  <c r="AT52" i="44"/>
  <c r="AS52" i="44"/>
  <c r="BG51" i="44"/>
  <c r="BF51" i="44"/>
  <c r="BE51" i="44"/>
  <c r="BD51" i="44"/>
  <c r="BC51" i="44"/>
  <c r="BB51" i="44"/>
  <c r="BA51" i="44"/>
  <c r="AZ51" i="44"/>
  <c r="AY51" i="44"/>
  <c r="AX51" i="44"/>
  <c r="AW51" i="44"/>
  <c r="AV51" i="44"/>
  <c r="AU51" i="44"/>
  <c r="AT51" i="44"/>
  <c r="AS51" i="44"/>
  <c r="BG50" i="44"/>
  <c r="BF50" i="44"/>
  <c r="BE50" i="44"/>
  <c r="BD50" i="44"/>
  <c r="BC50" i="44"/>
  <c r="BB50" i="44"/>
  <c r="BA50" i="44"/>
  <c r="AZ50" i="44"/>
  <c r="AY50" i="44"/>
  <c r="AX50" i="44"/>
  <c r="AW50" i="44"/>
  <c r="AV50" i="44"/>
  <c r="AU50" i="44"/>
  <c r="AT50" i="44"/>
  <c r="AS50" i="44"/>
  <c r="BG49" i="44"/>
  <c r="BF49" i="44"/>
  <c r="BE49" i="44"/>
  <c r="BD49" i="44"/>
  <c r="BC49" i="44"/>
  <c r="BB49" i="44"/>
  <c r="BA49" i="44"/>
  <c r="AZ49" i="44"/>
  <c r="AY49" i="44"/>
  <c r="AX49" i="44"/>
  <c r="AW49" i="44"/>
  <c r="AV49" i="44"/>
  <c r="AU49" i="44"/>
  <c r="AT49" i="44"/>
  <c r="AS49" i="44"/>
  <c r="BG48" i="44"/>
  <c r="BF48" i="44"/>
  <c r="BE48" i="44"/>
  <c r="BD48" i="44"/>
  <c r="BC48" i="44"/>
  <c r="BB48" i="44"/>
  <c r="BA48" i="44"/>
  <c r="AZ48" i="44"/>
  <c r="AY48" i="44"/>
  <c r="AX48" i="44"/>
  <c r="AW48" i="44"/>
  <c r="AV48" i="44"/>
  <c r="AU48" i="44"/>
  <c r="AT48" i="44"/>
  <c r="AS48" i="44"/>
  <c r="BG47" i="44"/>
  <c r="BF47" i="44"/>
  <c r="BE47" i="44"/>
  <c r="BD47" i="44"/>
  <c r="BC47" i="44"/>
  <c r="BB47" i="44"/>
  <c r="BA47" i="44"/>
  <c r="AZ47" i="44"/>
  <c r="AY47" i="44"/>
  <c r="AX47" i="44"/>
  <c r="AW47" i="44"/>
  <c r="AV47" i="44"/>
  <c r="AU47" i="44"/>
  <c r="AT47" i="44"/>
  <c r="AS47" i="44"/>
  <c r="BG46" i="44"/>
  <c r="BF46" i="44"/>
  <c r="BE46" i="44"/>
  <c r="BD46" i="44"/>
  <c r="BC46" i="44"/>
  <c r="BB46" i="44"/>
  <c r="BA46" i="44"/>
  <c r="AZ46" i="44"/>
  <c r="AY46" i="44"/>
  <c r="AX46" i="44"/>
  <c r="AW46" i="44"/>
  <c r="AV46" i="44"/>
  <c r="AU46" i="44"/>
  <c r="AT46" i="44"/>
  <c r="AS46" i="44"/>
  <c r="BG45" i="44"/>
  <c r="BF45" i="44"/>
  <c r="BE45" i="44"/>
  <c r="BD45" i="44"/>
  <c r="BC45" i="44"/>
  <c r="BB45" i="44"/>
  <c r="BA45" i="44"/>
  <c r="AZ45" i="44"/>
  <c r="AY45" i="44"/>
  <c r="AX45" i="44"/>
  <c r="AW45" i="44"/>
  <c r="AV45" i="44"/>
  <c r="AU45" i="44"/>
  <c r="AT45" i="44"/>
  <c r="AS45" i="44"/>
  <c r="BG44" i="44"/>
  <c r="BF44" i="44"/>
  <c r="BE44" i="44"/>
  <c r="BD44" i="44"/>
  <c r="BC44" i="44"/>
  <c r="BB44" i="44"/>
  <c r="BA44" i="44"/>
  <c r="AZ44" i="44"/>
  <c r="AY44" i="44"/>
  <c r="AX44" i="44"/>
  <c r="AW44" i="44"/>
  <c r="AV44" i="44"/>
  <c r="AU44" i="44"/>
  <c r="AT44" i="44"/>
  <c r="AS44" i="44"/>
  <c r="BG43" i="44"/>
  <c r="BF43" i="44"/>
  <c r="BE43" i="44"/>
  <c r="BD43" i="44"/>
  <c r="BC43" i="44"/>
  <c r="BB43" i="44"/>
  <c r="BA43" i="44"/>
  <c r="AZ43" i="44"/>
  <c r="AY43" i="44"/>
  <c r="AX43" i="44"/>
  <c r="AW43" i="44"/>
  <c r="AV43" i="44"/>
  <c r="AU43" i="44"/>
  <c r="AT43" i="44"/>
  <c r="AS43" i="44"/>
  <c r="BG42" i="44"/>
  <c r="BF42" i="44"/>
  <c r="BE42" i="44"/>
  <c r="BD42" i="44"/>
  <c r="BC42" i="44"/>
  <c r="BB42" i="44"/>
  <c r="BA42" i="44"/>
  <c r="AZ42" i="44"/>
  <c r="AY42" i="44"/>
  <c r="AX42" i="44"/>
  <c r="AW42" i="44"/>
  <c r="AV42" i="44"/>
  <c r="AU42" i="44"/>
  <c r="AT42" i="44"/>
  <c r="AS42" i="44"/>
  <c r="BG41" i="44"/>
  <c r="BF41" i="44"/>
  <c r="BE41" i="44"/>
  <c r="BD41" i="44"/>
  <c r="BC41" i="44"/>
  <c r="BB41" i="44"/>
  <c r="BA41" i="44"/>
  <c r="AZ41" i="44"/>
  <c r="AY41" i="44"/>
  <c r="AX41" i="44"/>
  <c r="AW41" i="44"/>
  <c r="AV41" i="44"/>
  <c r="AU41" i="44"/>
  <c r="AT41" i="44"/>
  <c r="AS41" i="44"/>
  <c r="BG40" i="44"/>
  <c r="BF40" i="44"/>
  <c r="BE40" i="44"/>
  <c r="BD40" i="44"/>
  <c r="BC40" i="44"/>
  <c r="BB40" i="44"/>
  <c r="BA40" i="44"/>
  <c r="AZ40" i="44"/>
  <c r="AY40" i="44"/>
  <c r="AX40" i="44"/>
  <c r="AW40" i="44"/>
  <c r="AV40" i="44"/>
  <c r="AU40" i="44"/>
  <c r="AT40" i="44"/>
  <c r="AS40" i="44"/>
  <c r="BG39" i="44"/>
  <c r="BF39" i="44"/>
  <c r="BE39" i="44"/>
  <c r="BD39" i="44"/>
  <c r="BC39" i="44"/>
  <c r="BB39" i="44"/>
  <c r="BA39" i="44"/>
  <c r="AZ39" i="44"/>
  <c r="AY39" i="44"/>
  <c r="AX39" i="44"/>
  <c r="AW39" i="44"/>
  <c r="AV39" i="44"/>
  <c r="AU39" i="44"/>
  <c r="AT39" i="44"/>
  <c r="AS39" i="44"/>
  <c r="BG38" i="44"/>
  <c r="BF38" i="44"/>
  <c r="BE38" i="44"/>
  <c r="BD38" i="44"/>
  <c r="BC38" i="44"/>
  <c r="BB38" i="44"/>
  <c r="BA38" i="44"/>
  <c r="AZ38" i="44"/>
  <c r="AY38" i="44"/>
  <c r="AX38" i="44"/>
  <c r="AW38" i="44"/>
  <c r="AV38" i="44"/>
  <c r="AU38" i="44"/>
  <c r="AT38" i="44"/>
  <c r="AS38" i="44"/>
  <c r="BG37" i="44"/>
  <c r="BF37" i="44"/>
  <c r="BE37" i="44"/>
  <c r="BD37" i="44"/>
  <c r="BC37" i="44"/>
  <c r="BB37" i="44"/>
  <c r="BA37" i="44"/>
  <c r="AZ37" i="44"/>
  <c r="AY37" i="44"/>
  <c r="AX37" i="44"/>
  <c r="AW37" i="44"/>
  <c r="AV37" i="44"/>
  <c r="AU37" i="44"/>
  <c r="AT37" i="44"/>
  <c r="AS37" i="44"/>
  <c r="BG36" i="44"/>
  <c r="BF36" i="44"/>
  <c r="BE36" i="44"/>
  <c r="BD36" i="44"/>
  <c r="BC36" i="44"/>
  <c r="BB36" i="44"/>
  <c r="BA36" i="44"/>
  <c r="AZ36" i="44"/>
  <c r="AY36" i="44"/>
  <c r="AX36" i="44"/>
  <c r="AW36" i="44"/>
  <c r="AV36" i="44"/>
  <c r="AU36" i="44"/>
  <c r="AT36" i="44"/>
  <c r="AS36" i="44"/>
  <c r="BG35" i="44"/>
  <c r="BF35" i="44"/>
  <c r="BE35" i="44"/>
  <c r="BD35" i="44"/>
  <c r="BC35" i="44"/>
  <c r="BB35" i="44"/>
  <c r="BA35" i="44"/>
  <c r="AZ35" i="44"/>
  <c r="AY35" i="44"/>
  <c r="AX35" i="44"/>
  <c r="AW35" i="44"/>
  <c r="AV35" i="44"/>
  <c r="AU35" i="44"/>
  <c r="AT35" i="44"/>
  <c r="AS35" i="44"/>
  <c r="BG34" i="44"/>
  <c r="BF34" i="44"/>
  <c r="BE34" i="44"/>
  <c r="BD34" i="44"/>
  <c r="BC34" i="44"/>
  <c r="BB34" i="44"/>
  <c r="BA34" i="44"/>
  <c r="AZ34" i="44"/>
  <c r="AY34" i="44"/>
  <c r="AX34" i="44"/>
  <c r="AW34" i="44"/>
  <c r="AV34" i="44"/>
  <c r="AU34" i="44"/>
  <c r="AT34" i="44"/>
  <c r="AS34" i="44"/>
  <c r="BG33" i="44"/>
  <c r="BF33" i="44"/>
  <c r="BE33" i="44"/>
  <c r="BD33" i="44"/>
  <c r="BC33" i="44"/>
  <c r="BB33" i="44"/>
  <c r="BA33" i="44"/>
  <c r="AZ33" i="44"/>
  <c r="AY33" i="44"/>
  <c r="AX33" i="44"/>
  <c r="AW33" i="44"/>
  <c r="AV33" i="44"/>
  <c r="AU33" i="44"/>
  <c r="AT33" i="44"/>
  <c r="AS33" i="44"/>
  <c r="BG32" i="44"/>
  <c r="BF32" i="44"/>
  <c r="BE32" i="44"/>
  <c r="BD32" i="44"/>
  <c r="BC32" i="44"/>
  <c r="BB32" i="44"/>
  <c r="BA32" i="44"/>
  <c r="AZ32" i="44"/>
  <c r="AY32" i="44"/>
  <c r="AX32" i="44"/>
  <c r="AW32" i="44"/>
  <c r="AV32" i="44"/>
  <c r="AU32" i="44"/>
  <c r="AT32" i="44"/>
  <c r="AS32" i="44"/>
  <c r="BG31" i="44"/>
  <c r="BF31" i="44"/>
  <c r="BE31" i="44"/>
  <c r="BD31" i="44"/>
  <c r="BC31" i="44"/>
  <c r="BB31" i="44"/>
  <c r="BA31" i="44"/>
  <c r="AZ31" i="44"/>
  <c r="AY31" i="44"/>
  <c r="AX31" i="44"/>
  <c r="AW31" i="44"/>
  <c r="AV31" i="44"/>
  <c r="AU31" i="44"/>
  <c r="AT31" i="44"/>
  <c r="AS31" i="44"/>
  <c r="BG30" i="44"/>
  <c r="BF30" i="44"/>
  <c r="BE30" i="44"/>
  <c r="BD30" i="44"/>
  <c r="BC30" i="44"/>
  <c r="BB30" i="44"/>
  <c r="BA30" i="44"/>
  <c r="AZ30" i="44"/>
  <c r="AY30" i="44"/>
  <c r="AX30" i="44"/>
  <c r="AW30" i="44"/>
  <c r="AV30" i="44"/>
  <c r="AU30" i="44"/>
  <c r="AT30" i="44"/>
  <c r="AS30" i="44"/>
  <c r="BG29" i="44"/>
  <c r="BF29" i="44"/>
  <c r="BE29" i="44"/>
  <c r="BD29" i="44"/>
  <c r="BC29" i="44"/>
  <c r="BB29" i="44"/>
  <c r="BA29" i="44"/>
  <c r="AZ29" i="44"/>
  <c r="AY29" i="44"/>
  <c r="AX29" i="44"/>
  <c r="AW29" i="44"/>
  <c r="AV29" i="44"/>
  <c r="AU29" i="44"/>
  <c r="AT29" i="44"/>
  <c r="AS29" i="44"/>
  <c r="BG28" i="44"/>
  <c r="BF28" i="44"/>
  <c r="BE28" i="44"/>
  <c r="BD28" i="44"/>
  <c r="BC28" i="44"/>
  <c r="BB28" i="44"/>
  <c r="BA28" i="44"/>
  <c r="AZ28" i="44"/>
  <c r="AY28" i="44"/>
  <c r="AX28" i="44"/>
  <c r="AW28" i="44"/>
  <c r="AV28" i="44"/>
  <c r="AU28" i="44"/>
  <c r="AT28" i="44"/>
  <c r="AS28" i="44"/>
  <c r="BG27" i="44"/>
  <c r="BF27" i="44"/>
  <c r="BE27" i="44"/>
  <c r="BD27" i="44"/>
  <c r="BC27" i="44"/>
  <c r="BB27" i="44"/>
  <c r="BA27" i="44"/>
  <c r="AZ27" i="44"/>
  <c r="AY27" i="44"/>
  <c r="AX27" i="44"/>
  <c r="AW27" i="44"/>
  <c r="AV27" i="44"/>
  <c r="AU27" i="44"/>
  <c r="AT27" i="44"/>
  <c r="AS27" i="44"/>
  <c r="BG26" i="44"/>
  <c r="BF26" i="44"/>
  <c r="BE26" i="44"/>
  <c r="BD26" i="44"/>
  <c r="BC26" i="44"/>
  <c r="BB26" i="44"/>
  <c r="BA26" i="44"/>
  <c r="AZ26" i="44"/>
  <c r="AY26" i="44"/>
  <c r="AX26" i="44"/>
  <c r="AW26" i="44"/>
  <c r="AV26" i="44"/>
  <c r="AU26" i="44"/>
  <c r="AT26" i="44"/>
  <c r="AS26" i="44"/>
  <c r="H26" i="44"/>
  <c r="E26" i="44"/>
  <c r="C26" i="44"/>
  <c r="BG25" i="44"/>
  <c r="BF25" i="44"/>
  <c r="BE25" i="44"/>
  <c r="BD25" i="44"/>
  <c r="BC25" i="44"/>
  <c r="BB25" i="44"/>
  <c r="BA25" i="44"/>
  <c r="AZ25" i="44"/>
  <c r="AY25" i="44"/>
  <c r="AX25" i="44"/>
  <c r="AW25" i="44"/>
  <c r="AV25" i="44"/>
  <c r="AU25" i="44"/>
  <c r="AT25" i="44"/>
  <c r="AS25" i="44"/>
  <c r="E25" i="44"/>
  <c r="BG24" i="44"/>
  <c r="BF24" i="44"/>
  <c r="BE24" i="44"/>
  <c r="BD24" i="44"/>
  <c r="BC24" i="44"/>
  <c r="BB24" i="44"/>
  <c r="BA24" i="44"/>
  <c r="AZ24" i="44"/>
  <c r="AY24" i="44"/>
  <c r="AX24" i="44"/>
  <c r="AW24" i="44"/>
  <c r="AV24" i="44"/>
  <c r="AU24" i="44"/>
  <c r="AT24" i="44"/>
  <c r="AS24" i="44"/>
  <c r="BG23" i="44"/>
  <c r="BF23" i="44"/>
  <c r="BE23" i="44"/>
  <c r="BD23" i="44"/>
  <c r="BC23" i="44"/>
  <c r="BB23" i="44"/>
  <c r="BA23" i="44"/>
  <c r="AZ23" i="44"/>
  <c r="AY23" i="44"/>
  <c r="AX23" i="44"/>
  <c r="AW23" i="44"/>
  <c r="AV23" i="44"/>
  <c r="AU23" i="44"/>
  <c r="AT23" i="44"/>
  <c r="AS23" i="44"/>
  <c r="G23" i="44"/>
  <c r="G24" i="44" s="1"/>
  <c r="BG22" i="44"/>
  <c r="BF22" i="44"/>
  <c r="BE22" i="44"/>
  <c r="BD22" i="44"/>
  <c r="BC22" i="44"/>
  <c r="BB22" i="44"/>
  <c r="BA22" i="44"/>
  <c r="AZ22" i="44"/>
  <c r="AY22" i="44"/>
  <c r="AX22" i="44"/>
  <c r="AW22" i="44"/>
  <c r="AV22" i="44"/>
  <c r="AU22" i="44"/>
  <c r="AT22" i="44"/>
  <c r="AS22" i="44"/>
  <c r="BG21" i="44"/>
  <c r="BF21" i="44"/>
  <c r="BE21" i="44"/>
  <c r="BD21" i="44"/>
  <c r="BC21" i="44"/>
  <c r="BB21" i="44"/>
  <c r="BA21" i="44"/>
  <c r="AZ21" i="44"/>
  <c r="AY21" i="44"/>
  <c r="AX21" i="44"/>
  <c r="AW21" i="44"/>
  <c r="AV21" i="44"/>
  <c r="AU21" i="44"/>
  <c r="AT21" i="44"/>
  <c r="AS21" i="44"/>
  <c r="AN21" i="44"/>
  <c r="AM21" i="44"/>
  <c r="AL21" i="44"/>
  <c r="AK21" i="44"/>
  <c r="AJ21" i="44"/>
  <c r="AI21" i="44"/>
  <c r="AH21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BG20" i="44"/>
  <c r="BF20" i="44"/>
  <c r="BE20" i="44"/>
  <c r="BD20" i="44"/>
  <c r="BC20" i="44"/>
  <c r="BB20" i="44"/>
  <c r="BA20" i="44"/>
  <c r="AZ20" i="44"/>
  <c r="AY20" i="44"/>
  <c r="AX20" i="44"/>
  <c r="AW20" i="44"/>
  <c r="AV20" i="44"/>
  <c r="AU20" i="44"/>
  <c r="AT20" i="44"/>
  <c r="AS20" i="44"/>
  <c r="BG19" i="44"/>
  <c r="BF19" i="44"/>
  <c r="BE19" i="44"/>
  <c r="BD19" i="44"/>
  <c r="BC19" i="44"/>
  <c r="BB19" i="44"/>
  <c r="BA19" i="44"/>
  <c r="AZ19" i="44"/>
  <c r="AY19" i="44"/>
  <c r="AX19" i="44"/>
  <c r="AW19" i="44"/>
  <c r="AV19" i="44"/>
  <c r="AU19" i="44"/>
  <c r="AT19" i="44"/>
  <c r="AS19" i="44"/>
  <c r="BG18" i="44"/>
  <c r="BF18" i="44"/>
  <c r="BE18" i="44"/>
  <c r="BD18" i="44"/>
  <c r="BC18" i="44"/>
  <c r="BB18" i="44"/>
  <c r="BA18" i="44"/>
  <c r="AZ18" i="44"/>
  <c r="AY18" i="44"/>
  <c r="AX18" i="44"/>
  <c r="AW18" i="44"/>
  <c r="AV18" i="44"/>
  <c r="AU18" i="44"/>
  <c r="AT18" i="44"/>
  <c r="AS18" i="44"/>
  <c r="AK18" i="44"/>
  <c r="AH18" i="44"/>
  <c r="AE18" i="44"/>
  <c r="I18" i="44"/>
  <c r="D18" i="44"/>
  <c r="C25" i="44" s="1"/>
  <c r="BG17" i="44"/>
  <c r="BF17" i="44"/>
  <c r="BE17" i="44"/>
  <c r="BD17" i="44"/>
  <c r="BC17" i="44"/>
  <c r="BB17" i="44"/>
  <c r="BA17" i="44"/>
  <c r="AZ17" i="44"/>
  <c r="AY17" i="44"/>
  <c r="AX17" i="44"/>
  <c r="AW17" i="44"/>
  <c r="AV17" i="44"/>
  <c r="AU17" i="44"/>
  <c r="AT17" i="44"/>
  <c r="AS17" i="44"/>
  <c r="BG16" i="44"/>
  <c r="BF16" i="44"/>
  <c r="BE16" i="44"/>
  <c r="BD16" i="44"/>
  <c r="BC16" i="44"/>
  <c r="BB16" i="44"/>
  <c r="BA16" i="44"/>
  <c r="AZ16" i="44"/>
  <c r="AY16" i="44"/>
  <c r="AX16" i="44"/>
  <c r="AW16" i="44"/>
  <c r="AV16" i="44"/>
  <c r="AU16" i="44"/>
  <c r="AT16" i="44"/>
  <c r="AS16" i="44"/>
  <c r="AN16" i="44"/>
  <c r="AM16" i="44"/>
  <c r="AL16" i="44"/>
  <c r="AK16" i="44"/>
  <c r="AJ16" i="44"/>
  <c r="AI16" i="44"/>
  <c r="AH16" i="44"/>
  <c r="AG16" i="44"/>
  <c r="AF16" i="44"/>
  <c r="AE16" i="44"/>
  <c r="AD16" i="44"/>
  <c r="AC16" i="44"/>
  <c r="AB16" i="44"/>
  <c r="AA16" i="44"/>
  <c r="Z16" i="44"/>
  <c r="Y16" i="44"/>
  <c r="X16" i="44"/>
  <c r="W16" i="44"/>
  <c r="V16" i="44"/>
  <c r="U16" i="44"/>
  <c r="T16" i="44"/>
  <c r="S16" i="44"/>
  <c r="R16" i="44"/>
  <c r="Q16" i="44"/>
  <c r="P16" i="44"/>
  <c r="O16" i="44"/>
  <c r="N16" i="44"/>
  <c r="M16" i="44"/>
  <c r="L16" i="44"/>
  <c r="K16" i="44"/>
  <c r="J16" i="44"/>
  <c r="I16" i="44"/>
  <c r="H16" i="44"/>
  <c r="G16" i="44"/>
  <c r="BG15" i="44"/>
  <c r="BF15" i="44"/>
  <c r="BE15" i="44"/>
  <c r="BD15" i="44"/>
  <c r="BC15" i="44"/>
  <c r="BB15" i="44"/>
  <c r="BA15" i="44"/>
  <c r="AZ15" i="44"/>
  <c r="AY15" i="44"/>
  <c r="AX15" i="44"/>
  <c r="AW15" i="44"/>
  <c r="AV15" i="44"/>
  <c r="AU15" i="44"/>
  <c r="AT15" i="44"/>
  <c r="AS15" i="44"/>
  <c r="BG14" i="44"/>
  <c r="BF14" i="44"/>
  <c r="BE14" i="44"/>
  <c r="BD14" i="44"/>
  <c r="BC14" i="44"/>
  <c r="BB14" i="44"/>
  <c r="BA14" i="44"/>
  <c r="AZ14" i="44"/>
  <c r="AY14" i="44"/>
  <c r="AX14" i="44"/>
  <c r="AW14" i="44"/>
  <c r="AV14" i="44"/>
  <c r="AU14" i="44"/>
  <c r="AT14" i="44"/>
  <c r="AS14" i="44"/>
  <c r="AP14" i="44"/>
  <c r="E14" i="44"/>
  <c r="BG13" i="44"/>
  <c r="BF13" i="44"/>
  <c r="BE13" i="44"/>
  <c r="BD13" i="44"/>
  <c r="BC13" i="44"/>
  <c r="BB13" i="44"/>
  <c r="BA13" i="44"/>
  <c r="AZ13" i="44"/>
  <c r="AY13" i="44"/>
  <c r="AX13" i="44"/>
  <c r="AW13" i="44"/>
  <c r="AV13" i="44"/>
  <c r="AU13" i="44"/>
  <c r="AT13" i="44"/>
  <c r="AS13" i="44"/>
  <c r="E13" i="44"/>
  <c r="BG12" i="44"/>
  <c r="BF12" i="44"/>
  <c r="BE12" i="44"/>
  <c r="BD12" i="44"/>
  <c r="BC12" i="44"/>
  <c r="BB12" i="44"/>
  <c r="BA12" i="44"/>
  <c r="AZ12" i="44"/>
  <c r="AY12" i="44"/>
  <c r="AX12" i="44"/>
  <c r="AW12" i="44"/>
  <c r="AV12" i="44"/>
  <c r="AU12" i="44"/>
  <c r="AT12" i="44"/>
  <c r="AS12" i="44"/>
  <c r="E12" i="44"/>
  <c r="BG11" i="44"/>
  <c r="BF11" i="44"/>
  <c r="BE11" i="44"/>
  <c r="BD11" i="44"/>
  <c r="BC11" i="44"/>
  <c r="BB11" i="44"/>
  <c r="BA11" i="44"/>
  <c r="AZ11" i="44"/>
  <c r="AY11" i="44"/>
  <c r="AX11" i="44"/>
  <c r="AW11" i="44"/>
  <c r="AV11" i="44"/>
  <c r="AU11" i="44"/>
  <c r="AT11" i="44"/>
  <c r="AS11" i="44"/>
  <c r="AP11" i="44"/>
  <c r="E11" i="44"/>
  <c r="BG10" i="44"/>
  <c r="BF10" i="44"/>
  <c r="BE10" i="44"/>
  <c r="BD10" i="44"/>
  <c r="BC10" i="44"/>
  <c r="BB10" i="44"/>
  <c r="BA10" i="44"/>
  <c r="AZ10" i="44"/>
  <c r="AY10" i="44"/>
  <c r="AX10" i="44"/>
  <c r="AW10" i="44"/>
  <c r="AV10" i="44"/>
  <c r="AU10" i="44"/>
  <c r="AT10" i="44"/>
  <c r="AS10" i="44"/>
  <c r="E10" i="44"/>
  <c r="BG9" i="44"/>
  <c r="BF9" i="44"/>
  <c r="BE9" i="44"/>
  <c r="BD9" i="44"/>
  <c r="BC9" i="44"/>
  <c r="BB9" i="44"/>
  <c r="BA9" i="44"/>
  <c r="AZ9" i="44"/>
  <c r="AY9" i="44"/>
  <c r="AX9" i="44"/>
  <c r="AW9" i="44"/>
  <c r="AV9" i="44"/>
  <c r="AU9" i="44"/>
  <c r="AT9" i="44"/>
  <c r="AS9" i="44"/>
  <c r="AP9" i="44"/>
  <c r="E9" i="44"/>
  <c r="BG8" i="44"/>
  <c r="BF8" i="44"/>
  <c r="BE8" i="44"/>
  <c r="BD8" i="44"/>
  <c r="BC8" i="44"/>
  <c r="BB8" i="44"/>
  <c r="BA8" i="44"/>
  <c r="AZ8" i="44"/>
  <c r="AY8" i="44"/>
  <c r="AX8" i="44"/>
  <c r="AW8" i="44"/>
  <c r="AV8" i="44"/>
  <c r="AU8" i="44"/>
  <c r="AT8" i="44"/>
  <c r="AS8" i="44"/>
  <c r="E8" i="44"/>
  <c r="BG7" i="44"/>
  <c r="BF7" i="44"/>
  <c r="BE7" i="44"/>
  <c r="BD7" i="44"/>
  <c r="BC7" i="44"/>
  <c r="BB7" i="44"/>
  <c r="BA7" i="44"/>
  <c r="AZ7" i="44"/>
  <c r="AY7" i="44"/>
  <c r="AX7" i="44"/>
  <c r="AW7" i="44"/>
  <c r="AV7" i="44"/>
  <c r="AU7" i="44"/>
  <c r="AT7" i="44"/>
  <c r="AS7" i="44"/>
  <c r="AP7" i="44"/>
  <c r="E7" i="44"/>
  <c r="BG6" i="44"/>
  <c r="BF6" i="44"/>
  <c r="BE6" i="44"/>
  <c r="BD6" i="44"/>
  <c r="BC6" i="44"/>
  <c r="BB6" i="44"/>
  <c r="BA6" i="44"/>
  <c r="AZ6" i="44"/>
  <c r="AY6" i="44"/>
  <c r="AX6" i="44"/>
  <c r="AW6" i="44"/>
  <c r="AV6" i="44"/>
  <c r="AU6" i="44"/>
  <c r="AT6" i="44"/>
  <c r="AS6" i="44"/>
  <c r="E6" i="44"/>
  <c r="BG5" i="44"/>
  <c r="BF5" i="44"/>
  <c r="BE5" i="44"/>
  <c r="BD5" i="44"/>
  <c r="BC5" i="44"/>
  <c r="BB5" i="44"/>
  <c r="BA5" i="44"/>
  <c r="AZ5" i="44"/>
  <c r="AY5" i="44"/>
  <c r="AX5" i="44"/>
  <c r="AW5" i="44"/>
  <c r="AV5" i="44"/>
  <c r="AU5" i="44"/>
  <c r="AT5" i="44"/>
  <c r="AS5" i="44"/>
  <c r="E5" i="44"/>
  <c r="BG4" i="44"/>
  <c r="BF4" i="44"/>
  <c r="BE4" i="44"/>
  <c r="BD4" i="44"/>
  <c r="BC4" i="44"/>
  <c r="BB4" i="44"/>
  <c r="BA4" i="44"/>
  <c r="AZ4" i="44"/>
  <c r="AY4" i="44"/>
  <c r="AX4" i="44"/>
  <c r="AW4" i="44"/>
  <c r="AV4" i="44"/>
  <c r="AU4" i="44"/>
  <c r="AT4" i="44"/>
  <c r="AS4" i="44"/>
  <c r="AP4" i="44"/>
  <c r="E4" i="44"/>
  <c r="E18" i="44" s="1"/>
  <c r="BG3" i="44"/>
  <c r="BF3" i="44"/>
  <c r="BE3" i="44"/>
  <c r="BD3" i="44"/>
  <c r="BC3" i="44"/>
  <c r="BB3" i="44"/>
  <c r="BA3" i="44"/>
  <c r="AZ3" i="44"/>
  <c r="AY3" i="44"/>
  <c r="AX3" i="44"/>
  <c r="AW3" i="44"/>
  <c r="AV3" i="44"/>
  <c r="AU3" i="44"/>
  <c r="AT3" i="44"/>
  <c r="AS3" i="44"/>
  <c r="BG2" i="44"/>
  <c r="BF2" i="44"/>
  <c r="BE2" i="44"/>
  <c r="BD2" i="44"/>
  <c r="BC2" i="44"/>
  <c r="BB2" i="44"/>
  <c r="BA2" i="44"/>
  <c r="AZ2" i="44"/>
  <c r="AY2" i="44"/>
  <c r="AX2" i="44"/>
  <c r="AW2" i="44"/>
  <c r="AV2" i="44"/>
  <c r="AU2" i="44"/>
  <c r="AT2" i="44"/>
  <c r="AS2" i="44"/>
  <c r="BG62" i="43"/>
  <c r="BF62" i="43"/>
  <c r="BE62" i="43"/>
  <c r="BD62" i="43"/>
  <c r="BC62" i="43"/>
  <c r="BB62" i="43"/>
  <c r="BA62" i="43"/>
  <c r="AZ62" i="43"/>
  <c r="AY62" i="43"/>
  <c r="AX62" i="43"/>
  <c r="AW62" i="43"/>
  <c r="AV62" i="43"/>
  <c r="AU62" i="43"/>
  <c r="AT62" i="43"/>
  <c r="AS62" i="43"/>
  <c r="BG61" i="43"/>
  <c r="BF61" i="43"/>
  <c r="BE61" i="43"/>
  <c r="BD61" i="43"/>
  <c r="BC61" i="43"/>
  <c r="BB61" i="43"/>
  <c r="BA61" i="43"/>
  <c r="AZ61" i="43"/>
  <c r="AY61" i="43"/>
  <c r="AX61" i="43"/>
  <c r="AW61" i="43"/>
  <c r="AV61" i="43"/>
  <c r="AU61" i="43"/>
  <c r="AT61" i="43"/>
  <c r="AS61" i="43"/>
  <c r="BG60" i="43"/>
  <c r="BF60" i="43"/>
  <c r="BE60" i="43"/>
  <c r="BD60" i="43"/>
  <c r="BC60" i="43"/>
  <c r="BB60" i="43"/>
  <c r="BA60" i="43"/>
  <c r="AZ60" i="43"/>
  <c r="AY60" i="43"/>
  <c r="AX60" i="43"/>
  <c r="AW60" i="43"/>
  <c r="AV60" i="43"/>
  <c r="AU60" i="43"/>
  <c r="AT60" i="43"/>
  <c r="AS60" i="43"/>
  <c r="BG59" i="43"/>
  <c r="BF59" i="43"/>
  <c r="BE59" i="43"/>
  <c r="BD59" i="43"/>
  <c r="BC59" i="43"/>
  <c r="BB59" i="43"/>
  <c r="BA59" i="43"/>
  <c r="AZ59" i="43"/>
  <c r="AY59" i="43"/>
  <c r="AX59" i="43"/>
  <c r="AW59" i="43"/>
  <c r="AV59" i="43"/>
  <c r="AU59" i="43"/>
  <c r="AT59" i="43"/>
  <c r="AS59" i="43"/>
  <c r="BG58" i="43"/>
  <c r="BF58" i="43"/>
  <c r="BE58" i="43"/>
  <c r="BD58" i="43"/>
  <c r="BC58" i="43"/>
  <c r="BB58" i="43"/>
  <c r="BA58" i="43"/>
  <c r="AZ58" i="43"/>
  <c r="AY58" i="43"/>
  <c r="AX58" i="43"/>
  <c r="AW58" i="43"/>
  <c r="AV58" i="43"/>
  <c r="AU58" i="43"/>
  <c r="AT58" i="43"/>
  <c r="AS58" i="43"/>
  <c r="BG57" i="43"/>
  <c r="BF57" i="43"/>
  <c r="BE57" i="43"/>
  <c r="BD57" i="43"/>
  <c r="BC57" i="43"/>
  <c r="BB57" i="43"/>
  <c r="BA57" i="43"/>
  <c r="AZ57" i="43"/>
  <c r="AY57" i="43"/>
  <c r="AX57" i="43"/>
  <c r="AW57" i="43"/>
  <c r="AV57" i="43"/>
  <c r="AU57" i="43"/>
  <c r="AT57" i="43"/>
  <c r="AS57" i="43"/>
  <c r="BG56" i="43"/>
  <c r="BF56" i="43"/>
  <c r="BE56" i="43"/>
  <c r="BD56" i="43"/>
  <c r="BC56" i="43"/>
  <c r="BB56" i="43"/>
  <c r="BA56" i="43"/>
  <c r="AZ56" i="43"/>
  <c r="AY56" i="43"/>
  <c r="AX56" i="43"/>
  <c r="AW56" i="43"/>
  <c r="AV56" i="43"/>
  <c r="AU56" i="43"/>
  <c r="AT56" i="43"/>
  <c r="AS56" i="43"/>
  <c r="BG55" i="43"/>
  <c r="BF55" i="43"/>
  <c r="BE55" i="43"/>
  <c r="BD55" i="43"/>
  <c r="BC55" i="43"/>
  <c r="BB55" i="43"/>
  <c r="BA55" i="43"/>
  <c r="AZ55" i="43"/>
  <c r="AY55" i="43"/>
  <c r="AX55" i="43"/>
  <c r="AW55" i="43"/>
  <c r="AV55" i="43"/>
  <c r="AU55" i="43"/>
  <c r="AT55" i="43"/>
  <c r="AS55" i="43"/>
  <c r="BG54" i="43"/>
  <c r="BF54" i="43"/>
  <c r="BE54" i="43"/>
  <c r="BD54" i="43"/>
  <c r="BC54" i="43"/>
  <c r="BB54" i="43"/>
  <c r="BA54" i="43"/>
  <c r="AZ54" i="43"/>
  <c r="AY54" i="43"/>
  <c r="AX54" i="43"/>
  <c r="AW54" i="43"/>
  <c r="AV54" i="43"/>
  <c r="AU54" i="43"/>
  <c r="AT54" i="43"/>
  <c r="AS54" i="43"/>
  <c r="BG53" i="43"/>
  <c r="BF53" i="43"/>
  <c r="BE53" i="43"/>
  <c r="BD53" i="43"/>
  <c r="BC53" i="43"/>
  <c r="BB53" i="43"/>
  <c r="BA53" i="43"/>
  <c r="AZ53" i="43"/>
  <c r="AY53" i="43"/>
  <c r="AX53" i="43"/>
  <c r="AW53" i="43"/>
  <c r="AV53" i="43"/>
  <c r="AU53" i="43"/>
  <c r="AT53" i="43"/>
  <c r="AS53" i="43"/>
  <c r="BG52" i="43"/>
  <c r="BF52" i="43"/>
  <c r="BE52" i="43"/>
  <c r="BD52" i="43"/>
  <c r="BC52" i="43"/>
  <c r="BB52" i="43"/>
  <c r="BA52" i="43"/>
  <c r="AZ52" i="43"/>
  <c r="AY52" i="43"/>
  <c r="AX52" i="43"/>
  <c r="AW52" i="43"/>
  <c r="AV52" i="43"/>
  <c r="AU52" i="43"/>
  <c r="AT52" i="43"/>
  <c r="AS52" i="43"/>
  <c r="BG51" i="43"/>
  <c r="BF51" i="43"/>
  <c r="BE51" i="43"/>
  <c r="BD51" i="43"/>
  <c r="BC51" i="43"/>
  <c r="BB51" i="43"/>
  <c r="BA51" i="43"/>
  <c r="AZ51" i="43"/>
  <c r="AY51" i="43"/>
  <c r="AX51" i="43"/>
  <c r="AW51" i="43"/>
  <c r="AV51" i="43"/>
  <c r="AU51" i="43"/>
  <c r="AT51" i="43"/>
  <c r="AS51" i="43"/>
  <c r="BG50" i="43"/>
  <c r="BF50" i="43"/>
  <c r="BE50" i="43"/>
  <c r="BD50" i="43"/>
  <c r="BC50" i="43"/>
  <c r="BB50" i="43"/>
  <c r="BA50" i="43"/>
  <c r="AZ50" i="43"/>
  <c r="AY50" i="43"/>
  <c r="AX50" i="43"/>
  <c r="AW50" i="43"/>
  <c r="AV50" i="43"/>
  <c r="AU50" i="43"/>
  <c r="AT50" i="43"/>
  <c r="AS50" i="43"/>
  <c r="BG49" i="43"/>
  <c r="BF49" i="43"/>
  <c r="BE49" i="43"/>
  <c r="BD49" i="43"/>
  <c r="BC49" i="43"/>
  <c r="BB49" i="43"/>
  <c r="BA49" i="43"/>
  <c r="AZ49" i="43"/>
  <c r="AY49" i="43"/>
  <c r="AX49" i="43"/>
  <c r="AW49" i="43"/>
  <c r="AV49" i="43"/>
  <c r="AU49" i="43"/>
  <c r="AT49" i="43"/>
  <c r="AS49" i="43"/>
  <c r="BG48" i="43"/>
  <c r="BF48" i="43"/>
  <c r="BE48" i="43"/>
  <c r="BD48" i="43"/>
  <c r="BC48" i="43"/>
  <c r="BB48" i="43"/>
  <c r="BA48" i="43"/>
  <c r="AZ48" i="43"/>
  <c r="AY48" i="43"/>
  <c r="AX48" i="43"/>
  <c r="AW48" i="43"/>
  <c r="AV48" i="43"/>
  <c r="AU48" i="43"/>
  <c r="AT48" i="43"/>
  <c r="AS48" i="43"/>
  <c r="BG47" i="43"/>
  <c r="BF47" i="43"/>
  <c r="BE47" i="43"/>
  <c r="BD47" i="43"/>
  <c r="BC47" i="43"/>
  <c r="BB47" i="43"/>
  <c r="BA47" i="43"/>
  <c r="AZ47" i="43"/>
  <c r="AY47" i="43"/>
  <c r="AX47" i="43"/>
  <c r="AW47" i="43"/>
  <c r="AV47" i="43"/>
  <c r="AU47" i="43"/>
  <c r="AT47" i="43"/>
  <c r="AS47" i="43"/>
  <c r="BG46" i="43"/>
  <c r="BF46" i="43"/>
  <c r="BE46" i="43"/>
  <c r="BD46" i="43"/>
  <c r="BC46" i="43"/>
  <c r="BB46" i="43"/>
  <c r="BA46" i="43"/>
  <c r="AZ46" i="43"/>
  <c r="AY46" i="43"/>
  <c r="AX46" i="43"/>
  <c r="AW46" i="43"/>
  <c r="AV46" i="43"/>
  <c r="AU46" i="43"/>
  <c r="AT46" i="43"/>
  <c r="AS46" i="43"/>
  <c r="BG45" i="43"/>
  <c r="BF45" i="43"/>
  <c r="BE45" i="43"/>
  <c r="BD45" i="43"/>
  <c r="BC45" i="43"/>
  <c r="BB45" i="43"/>
  <c r="BA45" i="43"/>
  <c r="AZ45" i="43"/>
  <c r="AY45" i="43"/>
  <c r="AX45" i="43"/>
  <c r="AW45" i="43"/>
  <c r="AV45" i="43"/>
  <c r="AU45" i="43"/>
  <c r="AT45" i="43"/>
  <c r="AS45" i="43"/>
  <c r="BG44" i="43"/>
  <c r="BF44" i="43"/>
  <c r="BE44" i="43"/>
  <c r="BD44" i="43"/>
  <c r="BC44" i="43"/>
  <c r="BB44" i="43"/>
  <c r="BA44" i="43"/>
  <c r="AZ44" i="43"/>
  <c r="AY44" i="43"/>
  <c r="AX44" i="43"/>
  <c r="AW44" i="43"/>
  <c r="AV44" i="43"/>
  <c r="AU44" i="43"/>
  <c r="AT44" i="43"/>
  <c r="AS44" i="43"/>
  <c r="BG43" i="43"/>
  <c r="BF43" i="43"/>
  <c r="BE43" i="43"/>
  <c r="BD43" i="43"/>
  <c r="BC43" i="43"/>
  <c r="BB43" i="43"/>
  <c r="BA43" i="43"/>
  <c r="AZ43" i="43"/>
  <c r="AY43" i="43"/>
  <c r="AX43" i="43"/>
  <c r="AW43" i="43"/>
  <c r="AV43" i="43"/>
  <c r="AU43" i="43"/>
  <c r="AT43" i="43"/>
  <c r="AS43" i="43"/>
  <c r="BG42" i="43"/>
  <c r="BF42" i="43"/>
  <c r="BE42" i="43"/>
  <c r="BD42" i="43"/>
  <c r="BC42" i="43"/>
  <c r="BB42" i="43"/>
  <c r="BA42" i="43"/>
  <c r="AZ42" i="43"/>
  <c r="AY42" i="43"/>
  <c r="AX42" i="43"/>
  <c r="AW42" i="43"/>
  <c r="AV42" i="43"/>
  <c r="AU42" i="43"/>
  <c r="AT42" i="43"/>
  <c r="AS42" i="43"/>
  <c r="BG41" i="43"/>
  <c r="BF41" i="43"/>
  <c r="BE41" i="43"/>
  <c r="BD41" i="43"/>
  <c r="BC41" i="43"/>
  <c r="BB41" i="43"/>
  <c r="BA41" i="43"/>
  <c r="AZ41" i="43"/>
  <c r="AY41" i="43"/>
  <c r="AX41" i="43"/>
  <c r="AW41" i="43"/>
  <c r="AV41" i="43"/>
  <c r="AU41" i="43"/>
  <c r="AT41" i="43"/>
  <c r="AS41" i="43"/>
  <c r="BG40" i="43"/>
  <c r="BF40" i="43"/>
  <c r="BE40" i="43"/>
  <c r="BD40" i="43"/>
  <c r="BC40" i="43"/>
  <c r="BB40" i="43"/>
  <c r="BA40" i="43"/>
  <c r="AZ40" i="43"/>
  <c r="AY40" i="43"/>
  <c r="AX40" i="43"/>
  <c r="AW40" i="43"/>
  <c r="AV40" i="43"/>
  <c r="AU40" i="43"/>
  <c r="AT40" i="43"/>
  <c r="AS40" i="43"/>
  <c r="BG39" i="43"/>
  <c r="BF39" i="43"/>
  <c r="BE39" i="43"/>
  <c r="BD39" i="43"/>
  <c r="BC39" i="43"/>
  <c r="BB39" i="43"/>
  <c r="BA39" i="43"/>
  <c r="AZ39" i="43"/>
  <c r="AY39" i="43"/>
  <c r="AX39" i="43"/>
  <c r="AW39" i="43"/>
  <c r="AV39" i="43"/>
  <c r="AU39" i="43"/>
  <c r="AT39" i="43"/>
  <c r="AS39" i="43"/>
  <c r="BG38" i="43"/>
  <c r="BF38" i="43"/>
  <c r="BE38" i="43"/>
  <c r="BD38" i="43"/>
  <c r="BC38" i="43"/>
  <c r="BB38" i="43"/>
  <c r="BA38" i="43"/>
  <c r="AZ38" i="43"/>
  <c r="AY38" i="43"/>
  <c r="AX38" i="43"/>
  <c r="AW38" i="43"/>
  <c r="AV38" i="43"/>
  <c r="AU38" i="43"/>
  <c r="AT38" i="43"/>
  <c r="AS38" i="43"/>
  <c r="BG37" i="43"/>
  <c r="BF37" i="43"/>
  <c r="BE37" i="43"/>
  <c r="BD37" i="43"/>
  <c r="BC37" i="43"/>
  <c r="BB37" i="43"/>
  <c r="BA37" i="43"/>
  <c r="AZ37" i="43"/>
  <c r="AY37" i="43"/>
  <c r="AX37" i="43"/>
  <c r="AW37" i="43"/>
  <c r="AV37" i="43"/>
  <c r="AU37" i="43"/>
  <c r="AT37" i="43"/>
  <c r="AS37" i="43"/>
  <c r="BG36" i="43"/>
  <c r="BF36" i="43"/>
  <c r="BE36" i="43"/>
  <c r="BD36" i="43"/>
  <c r="BC36" i="43"/>
  <c r="BB36" i="43"/>
  <c r="BA36" i="43"/>
  <c r="AZ36" i="43"/>
  <c r="AY36" i="43"/>
  <c r="AX36" i="43"/>
  <c r="AW36" i="43"/>
  <c r="AV36" i="43"/>
  <c r="AU36" i="43"/>
  <c r="AT36" i="43"/>
  <c r="AS36" i="43"/>
  <c r="BG35" i="43"/>
  <c r="BF35" i="43"/>
  <c r="BE35" i="43"/>
  <c r="BD35" i="43"/>
  <c r="BC35" i="43"/>
  <c r="BB35" i="43"/>
  <c r="BA35" i="43"/>
  <c r="AZ35" i="43"/>
  <c r="AY35" i="43"/>
  <c r="AX35" i="43"/>
  <c r="AW35" i="43"/>
  <c r="AV35" i="43"/>
  <c r="AU35" i="43"/>
  <c r="AT35" i="43"/>
  <c r="AS35" i="43"/>
  <c r="BG34" i="43"/>
  <c r="BF34" i="43"/>
  <c r="BE34" i="43"/>
  <c r="BD34" i="43"/>
  <c r="BC34" i="43"/>
  <c r="BB34" i="43"/>
  <c r="BA34" i="43"/>
  <c r="AZ34" i="43"/>
  <c r="AY34" i="43"/>
  <c r="AX34" i="43"/>
  <c r="AW34" i="43"/>
  <c r="AV34" i="43"/>
  <c r="AU34" i="43"/>
  <c r="AT34" i="43"/>
  <c r="AS34" i="43"/>
  <c r="BG33" i="43"/>
  <c r="BF33" i="43"/>
  <c r="BE33" i="43"/>
  <c r="BD33" i="43"/>
  <c r="BC33" i="43"/>
  <c r="BB33" i="43"/>
  <c r="BA33" i="43"/>
  <c r="AZ33" i="43"/>
  <c r="AY33" i="43"/>
  <c r="AX33" i="43"/>
  <c r="AW33" i="43"/>
  <c r="AV33" i="43"/>
  <c r="AU33" i="43"/>
  <c r="AT33" i="43"/>
  <c r="AS33" i="43"/>
  <c r="BG32" i="43"/>
  <c r="BF32" i="43"/>
  <c r="BE32" i="43"/>
  <c r="BD32" i="43"/>
  <c r="BC32" i="43"/>
  <c r="BB32" i="43"/>
  <c r="BA32" i="43"/>
  <c r="AZ32" i="43"/>
  <c r="AY32" i="43"/>
  <c r="AX32" i="43"/>
  <c r="AW32" i="43"/>
  <c r="AV32" i="43"/>
  <c r="AU32" i="43"/>
  <c r="AT32" i="43"/>
  <c r="AS32" i="43"/>
  <c r="BG31" i="43"/>
  <c r="BF31" i="43"/>
  <c r="BE31" i="43"/>
  <c r="BD31" i="43"/>
  <c r="BC31" i="43"/>
  <c r="BB31" i="43"/>
  <c r="BA31" i="43"/>
  <c r="AZ31" i="43"/>
  <c r="AY31" i="43"/>
  <c r="AX31" i="43"/>
  <c r="AW31" i="43"/>
  <c r="AV31" i="43"/>
  <c r="AU31" i="43"/>
  <c r="AT31" i="43"/>
  <c r="AS31" i="43"/>
  <c r="BG30" i="43"/>
  <c r="BF30" i="43"/>
  <c r="BE30" i="43"/>
  <c r="BD30" i="43"/>
  <c r="BC30" i="43"/>
  <c r="BB30" i="43"/>
  <c r="BA30" i="43"/>
  <c r="AZ30" i="43"/>
  <c r="AY30" i="43"/>
  <c r="AX30" i="43"/>
  <c r="AW30" i="43"/>
  <c r="AV30" i="43"/>
  <c r="AU30" i="43"/>
  <c r="AT30" i="43"/>
  <c r="AS30" i="43"/>
  <c r="BG29" i="43"/>
  <c r="BF29" i="43"/>
  <c r="BE29" i="43"/>
  <c r="BD29" i="43"/>
  <c r="BC29" i="43"/>
  <c r="BB29" i="43"/>
  <c r="BA29" i="43"/>
  <c r="AZ29" i="43"/>
  <c r="AY29" i="43"/>
  <c r="AX29" i="43"/>
  <c r="AW29" i="43"/>
  <c r="AV29" i="43"/>
  <c r="AU29" i="43"/>
  <c r="AT29" i="43"/>
  <c r="AS29" i="43"/>
  <c r="BG28" i="43"/>
  <c r="BF28" i="43"/>
  <c r="BE28" i="43"/>
  <c r="BD28" i="43"/>
  <c r="BC28" i="43"/>
  <c r="BB28" i="43"/>
  <c r="BA28" i="43"/>
  <c r="AZ28" i="43"/>
  <c r="AY28" i="43"/>
  <c r="AX28" i="43"/>
  <c r="AW28" i="43"/>
  <c r="AV28" i="43"/>
  <c r="AU28" i="43"/>
  <c r="AT28" i="43"/>
  <c r="AS28" i="43"/>
  <c r="BG27" i="43"/>
  <c r="BF27" i="43"/>
  <c r="BE27" i="43"/>
  <c r="BD27" i="43"/>
  <c r="BC27" i="43"/>
  <c r="BB27" i="43"/>
  <c r="BA27" i="43"/>
  <c r="AZ27" i="43"/>
  <c r="AY27" i="43"/>
  <c r="AX27" i="43"/>
  <c r="AW27" i="43"/>
  <c r="AV27" i="43"/>
  <c r="AU27" i="43"/>
  <c r="AT27" i="43"/>
  <c r="AS27" i="43"/>
  <c r="BG26" i="43"/>
  <c r="BF26" i="43"/>
  <c r="BE26" i="43"/>
  <c r="BD26" i="43"/>
  <c r="BC26" i="43"/>
  <c r="BB26" i="43"/>
  <c r="BA26" i="43"/>
  <c r="AZ26" i="43"/>
  <c r="AY26" i="43"/>
  <c r="AX26" i="43"/>
  <c r="AW26" i="43"/>
  <c r="AV26" i="43"/>
  <c r="AU26" i="43"/>
  <c r="AT26" i="43"/>
  <c r="AS26" i="43"/>
  <c r="H26" i="43"/>
  <c r="E26" i="43"/>
  <c r="C26" i="43"/>
  <c r="BG25" i="43"/>
  <c r="BF25" i="43"/>
  <c r="BE25" i="43"/>
  <c r="BD25" i="43"/>
  <c r="BC25" i="43"/>
  <c r="BB25" i="43"/>
  <c r="BA25" i="43"/>
  <c r="AZ25" i="43"/>
  <c r="AY25" i="43"/>
  <c r="AX25" i="43"/>
  <c r="AW25" i="43"/>
  <c r="AV25" i="43"/>
  <c r="AU25" i="43"/>
  <c r="AT25" i="43"/>
  <c r="AS25" i="43"/>
  <c r="BG24" i="43"/>
  <c r="BF24" i="43"/>
  <c r="BE24" i="43"/>
  <c r="BD24" i="43"/>
  <c r="BC24" i="43"/>
  <c r="BB24" i="43"/>
  <c r="BA24" i="43"/>
  <c r="AZ24" i="43"/>
  <c r="AY24" i="43"/>
  <c r="AX24" i="43"/>
  <c r="AW24" i="43"/>
  <c r="AV24" i="43"/>
  <c r="AU24" i="43"/>
  <c r="AT24" i="43"/>
  <c r="AS24" i="43"/>
  <c r="BG23" i="43"/>
  <c r="BF23" i="43"/>
  <c r="BE23" i="43"/>
  <c r="BD23" i="43"/>
  <c r="BC23" i="43"/>
  <c r="BB23" i="43"/>
  <c r="BA23" i="43"/>
  <c r="AZ23" i="43"/>
  <c r="AY23" i="43"/>
  <c r="AX23" i="43"/>
  <c r="AW23" i="43"/>
  <c r="AV23" i="43"/>
  <c r="AU23" i="43"/>
  <c r="AT23" i="43"/>
  <c r="AS23" i="43"/>
  <c r="G23" i="43"/>
  <c r="E25" i="43" s="1"/>
  <c r="BG22" i="43"/>
  <c r="BF22" i="43"/>
  <c r="BE22" i="43"/>
  <c r="BD22" i="43"/>
  <c r="BC22" i="43"/>
  <c r="BB22" i="43"/>
  <c r="BA22" i="43"/>
  <c r="AZ22" i="43"/>
  <c r="AY22" i="43"/>
  <c r="AX22" i="43"/>
  <c r="AW22" i="43"/>
  <c r="AV22" i="43"/>
  <c r="AU22" i="43"/>
  <c r="AT22" i="43"/>
  <c r="AS22" i="43"/>
  <c r="BG21" i="43"/>
  <c r="BF21" i="43"/>
  <c r="BE21" i="43"/>
  <c r="BD21" i="43"/>
  <c r="BC21" i="43"/>
  <c r="BB21" i="43"/>
  <c r="BA21" i="43"/>
  <c r="AZ21" i="43"/>
  <c r="AY21" i="43"/>
  <c r="AX21" i="43"/>
  <c r="AW21" i="43"/>
  <c r="AV21" i="43"/>
  <c r="AU21" i="43"/>
  <c r="AT21" i="43"/>
  <c r="AS21" i="43"/>
  <c r="AN21" i="43"/>
  <c r="AM21" i="43"/>
  <c r="AL21" i="43"/>
  <c r="AK21" i="43"/>
  <c r="AJ21" i="43"/>
  <c r="AI21" i="43"/>
  <c r="AH21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BG20" i="43"/>
  <c r="BF20" i="43"/>
  <c r="BE20" i="43"/>
  <c r="BD20" i="43"/>
  <c r="BC20" i="43"/>
  <c r="BB20" i="43"/>
  <c r="BA20" i="43"/>
  <c r="AZ20" i="43"/>
  <c r="AY20" i="43"/>
  <c r="AX20" i="43"/>
  <c r="AW20" i="43"/>
  <c r="AV20" i="43"/>
  <c r="AU20" i="43"/>
  <c r="AT20" i="43"/>
  <c r="AS20" i="43"/>
  <c r="BG19" i="43"/>
  <c r="BF19" i="43"/>
  <c r="BE19" i="43"/>
  <c r="BD19" i="43"/>
  <c r="BC19" i="43"/>
  <c r="BB19" i="43"/>
  <c r="BA19" i="43"/>
  <c r="AZ19" i="43"/>
  <c r="AY19" i="43"/>
  <c r="AX19" i="43"/>
  <c r="AW19" i="43"/>
  <c r="AV19" i="43"/>
  <c r="AU19" i="43"/>
  <c r="AT19" i="43"/>
  <c r="AS19" i="43"/>
  <c r="BG18" i="43"/>
  <c r="BF18" i="43"/>
  <c r="BE18" i="43"/>
  <c r="BD18" i="43"/>
  <c r="BC18" i="43"/>
  <c r="BB18" i="43"/>
  <c r="BA18" i="43"/>
  <c r="AZ18" i="43"/>
  <c r="AY18" i="43"/>
  <c r="AX18" i="43"/>
  <c r="AW18" i="43"/>
  <c r="AV18" i="43"/>
  <c r="AU18" i="43"/>
  <c r="AT18" i="43"/>
  <c r="AS18" i="43"/>
  <c r="AK18" i="43"/>
  <c r="AH18" i="43"/>
  <c r="AE18" i="43"/>
  <c r="I18" i="43"/>
  <c r="D18" i="43"/>
  <c r="C25" i="43" s="1"/>
  <c r="BG17" i="43"/>
  <c r="BF17" i="43"/>
  <c r="BE17" i="43"/>
  <c r="BD17" i="43"/>
  <c r="BC17" i="43"/>
  <c r="BB17" i="43"/>
  <c r="BA17" i="43"/>
  <c r="AZ17" i="43"/>
  <c r="AY17" i="43"/>
  <c r="AX17" i="43"/>
  <c r="AW17" i="43"/>
  <c r="AV17" i="43"/>
  <c r="AU17" i="43"/>
  <c r="AT17" i="43"/>
  <c r="AS17" i="43"/>
  <c r="BG16" i="43"/>
  <c r="BF16" i="43"/>
  <c r="BE16" i="43"/>
  <c r="BD16" i="43"/>
  <c r="BC16" i="43"/>
  <c r="BB16" i="43"/>
  <c r="BA16" i="43"/>
  <c r="AZ16" i="43"/>
  <c r="AY16" i="43"/>
  <c r="AX16" i="43"/>
  <c r="AW16" i="43"/>
  <c r="AV16" i="43"/>
  <c r="AU16" i="43"/>
  <c r="AT16" i="43"/>
  <c r="AS16" i="43"/>
  <c r="AN16" i="43"/>
  <c r="AM16" i="43"/>
  <c r="AL16" i="43"/>
  <c r="AK16" i="43"/>
  <c r="AJ16" i="43"/>
  <c r="AI16" i="43"/>
  <c r="AH16" i="43"/>
  <c r="AG16" i="43"/>
  <c r="AF16" i="43"/>
  <c r="AE16" i="43"/>
  <c r="AD16" i="43"/>
  <c r="AC16" i="43"/>
  <c r="AB16" i="43"/>
  <c r="AA16" i="43"/>
  <c r="Z16" i="43"/>
  <c r="Y16" i="43"/>
  <c r="X16" i="43"/>
  <c r="W16" i="43"/>
  <c r="V16" i="43"/>
  <c r="U16" i="43"/>
  <c r="T16" i="43"/>
  <c r="S16" i="43"/>
  <c r="R16" i="43"/>
  <c r="Q16" i="43"/>
  <c r="P16" i="43"/>
  <c r="O16" i="43"/>
  <c r="N16" i="43"/>
  <c r="M16" i="43"/>
  <c r="L16" i="43"/>
  <c r="K16" i="43"/>
  <c r="J16" i="43"/>
  <c r="I16" i="43"/>
  <c r="H16" i="43"/>
  <c r="G16" i="43"/>
  <c r="BG15" i="43"/>
  <c r="BF15" i="43"/>
  <c r="BE15" i="43"/>
  <c r="BD15" i="43"/>
  <c r="BC15" i="43"/>
  <c r="BB15" i="43"/>
  <c r="BA15" i="43"/>
  <c r="AZ15" i="43"/>
  <c r="AY15" i="43"/>
  <c r="AX15" i="43"/>
  <c r="AW15" i="43"/>
  <c r="AV15" i="43"/>
  <c r="AU15" i="43"/>
  <c r="AT15" i="43"/>
  <c r="AS15" i="43"/>
  <c r="BG14" i="43"/>
  <c r="BF14" i="43"/>
  <c r="BE14" i="43"/>
  <c r="BD14" i="43"/>
  <c r="BC14" i="43"/>
  <c r="BB14" i="43"/>
  <c r="BA14" i="43"/>
  <c r="AZ14" i="43"/>
  <c r="AY14" i="43"/>
  <c r="AX14" i="43"/>
  <c r="AW14" i="43"/>
  <c r="AV14" i="43"/>
  <c r="AU14" i="43"/>
  <c r="AT14" i="43"/>
  <c r="AS14" i="43"/>
  <c r="AP14" i="43"/>
  <c r="E14" i="43"/>
  <c r="BG13" i="43"/>
  <c r="BF13" i="43"/>
  <c r="BE13" i="43"/>
  <c r="BD13" i="43"/>
  <c r="BC13" i="43"/>
  <c r="BB13" i="43"/>
  <c r="BA13" i="43"/>
  <c r="AZ13" i="43"/>
  <c r="AY13" i="43"/>
  <c r="AX13" i="43"/>
  <c r="AW13" i="43"/>
  <c r="AV13" i="43"/>
  <c r="AU13" i="43"/>
  <c r="AT13" i="43"/>
  <c r="AS13" i="43"/>
  <c r="E13" i="43"/>
  <c r="BG12" i="43"/>
  <c r="BF12" i="43"/>
  <c r="BE12" i="43"/>
  <c r="BD12" i="43"/>
  <c r="BC12" i="43"/>
  <c r="BB12" i="43"/>
  <c r="BA12" i="43"/>
  <c r="AZ12" i="43"/>
  <c r="AY12" i="43"/>
  <c r="AX12" i="43"/>
  <c r="AW12" i="43"/>
  <c r="AV12" i="43"/>
  <c r="AU12" i="43"/>
  <c r="AT12" i="43"/>
  <c r="AS12" i="43"/>
  <c r="E12" i="43"/>
  <c r="BG11" i="43"/>
  <c r="BF11" i="43"/>
  <c r="BE11" i="43"/>
  <c r="BD11" i="43"/>
  <c r="BC11" i="43"/>
  <c r="BB11" i="43"/>
  <c r="BA11" i="43"/>
  <c r="AZ11" i="43"/>
  <c r="AY11" i="43"/>
  <c r="AX11" i="43"/>
  <c r="AW11" i="43"/>
  <c r="AV11" i="43"/>
  <c r="AU11" i="43"/>
  <c r="AT11" i="43"/>
  <c r="AS11" i="43"/>
  <c r="AP11" i="43"/>
  <c r="E11" i="43"/>
  <c r="BG10" i="43"/>
  <c r="BF10" i="43"/>
  <c r="BE10" i="43"/>
  <c r="BD10" i="43"/>
  <c r="BC10" i="43"/>
  <c r="BB10" i="43"/>
  <c r="BA10" i="43"/>
  <c r="AZ10" i="43"/>
  <c r="AY10" i="43"/>
  <c r="AX10" i="43"/>
  <c r="AW10" i="43"/>
  <c r="AV10" i="43"/>
  <c r="AU10" i="43"/>
  <c r="AT10" i="43"/>
  <c r="AS10" i="43"/>
  <c r="E10" i="43"/>
  <c r="BG9" i="43"/>
  <c r="BF9" i="43"/>
  <c r="BE9" i="43"/>
  <c r="BD9" i="43"/>
  <c r="BC9" i="43"/>
  <c r="BB9" i="43"/>
  <c r="BA9" i="43"/>
  <c r="AZ9" i="43"/>
  <c r="AY9" i="43"/>
  <c r="AX9" i="43"/>
  <c r="AW9" i="43"/>
  <c r="AV9" i="43"/>
  <c r="AU9" i="43"/>
  <c r="AT9" i="43"/>
  <c r="AS9" i="43"/>
  <c r="AP9" i="43"/>
  <c r="E9" i="43"/>
  <c r="BG8" i="43"/>
  <c r="BF8" i="43"/>
  <c r="BE8" i="43"/>
  <c r="BD8" i="43"/>
  <c r="BC8" i="43"/>
  <c r="BB8" i="43"/>
  <c r="BA8" i="43"/>
  <c r="AZ8" i="43"/>
  <c r="AY8" i="43"/>
  <c r="AX8" i="43"/>
  <c r="AW8" i="43"/>
  <c r="AV8" i="43"/>
  <c r="AU8" i="43"/>
  <c r="AT8" i="43"/>
  <c r="AS8" i="43"/>
  <c r="E8" i="43"/>
  <c r="BG7" i="43"/>
  <c r="BF7" i="43"/>
  <c r="BE7" i="43"/>
  <c r="BD7" i="43"/>
  <c r="BC7" i="43"/>
  <c r="BB7" i="43"/>
  <c r="BA7" i="43"/>
  <c r="AZ7" i="43"/>
  <c r="AY7" i="43"/>
  <c r="AX7" i="43"/>
  <c r="AW7" i="43"/>
  <c r="AV7" i="43"/>
  <c r="AU7" i="43"/>
  <c r="AT7" i="43"/>
  <c r="AS7" i="43"/>
  <c r="AP7" i="43"/>
  <c r="E7" i="43"/>
  <c r="BG6" i="43"/>
  <c r="BF6" i="43"/>
  <c r="BE6" i="43"/>
  <c r="BD6" i="43"/>
  <c r="BC6" i="43"/>
  <c r="BB6" i="43"/>
  <c r="BA6" i="43"/>
  <c r="AZ6" i="43"/>
  <c r="AY6" i="43"/>
  <c r="AX6" i="43"/>
  <c r="AW6" i="43"/>
  <c r="AV6" i="43"/>
  <c r="AU6" i="43"/>
  <c r="AT6" i="43"/>
  <c r="AS6" i="43"/>
  <c r="E6" i="43"/>
  <c r="BG5" i="43"/>
  <c r="BF5" i="43"/>
  <c r="BE5" i="43"/>
  <c r="BD5" i="43"/>
  <c r="BC5" i="43"/>
  <c r="BB5" i="43"/>
  <c r="BA5" i="43"/>
  <c r="AZ5" i="43"/>
  <c r="AY5" i="43"/>
  <c r="AX5" i="43"/>
  <c r="AW5" i="43"/>
  <c r="AV5" i="43"/>
  <c r="AU5" i="43"/>
  <c r="AT5" i="43"/>
  <c r="AS5" i="43"/>
  <c r="E5" i="43"/>
  <c r="BG4" i="43"/>
  <c r="BF4" i="43"/>
  <c r="BE4" i="43"/>
  <c r="BD4" i="43"/>
  <c r="BC4" i="43"/>
  <c r="BB4" i="43"/>
  <c r="BA4" i="43"/>
  <c r="AZ4" i="43"/>
  <c r="AY4" i="43"/>
  <c r="AX4" i="43"/>
  <c r="AW4" i="43"/>
  <c r="AV4" i="43"/>
  <c r="AU4" i="43"/>
  <c r="AT4" i="43"/>
  <c r="AS4" i="43"/>
  <c r="AP4" i="43"/>
  <c r="E4" i="43"/>
  <c r="E18" i="43" s="1"/>
  <c r="BG3" i="43"/>
  <c r="BF3" i="43"/>
  <c r="BE3" i="43"/>
  <c r="BD3" i="43"/>
  <c r="BC3" i="43"/>
  <c r="BB3" i="43"/>
  <c r="BA3" i="43"/>
  <c r="AZ3" i="43"/>
  <c r="AY3" i="43"/>
  <c r="AX3" i="43"/>
  <c r="AW3" i="43"/>
  <c r="AV3" i="43"/>
  <c r="AU3" i="43"/>
  <c r="AT3" i="43"/>
  <c r="AS3" i="43"/>
  <c r="BG2" i="43"/>
  <c r="BF2" i="43"/>
  <c r="BE2" i="43"/>
  <c r="BD2" i="43"/>
  <c r="BC2" i="43"/>
  <c r="BB2" i="43"/>
  <c r="BA2" i="43"/>
  <c r="AZ2" i="43"/>
  <c r="AY2" i="43"/>
  <c r="AX2" i="43"/>
  <c r="AW2" i="43"/>
  <c r="AV2" i="43"/>
  <c r="AU2" i="43"/>
  <c r="AT2" i="43"/>
  <c r="AS2" i="43"/>
  <c r="BG62" i="42"/>
  <c r="BF62" i="42"/>
  <c r="BE62" i="42"/>
  <c r="BD62" i="42"/>
  <c r="BC62" i="42"/>
  <c r="BB62" i="42"/>
  <c r="BA62" i="42"/>
  <c r="AZ62" i="42"/>
  <c r="AY62" i="42"/>
  <c r="AX62" i="42"/>
  <c r="AW62" i="42"/>
  <c r="AV62" i="42"/>
  <c r="AU62" i="42"/>
  <c r="AT62" i="42"/>
  <c r="AS62" i="42"/>
  <c r="BG61" i="42"/>
  <c r="BF61" i="42"/>
  <c r="BE61" i="42"/>
  <c r="BD61" i="42"/>
  <c r="BC61" i="42"/>
  <c r="BB61" i="42"/>
  <c r="BA61" i="42"/>
  <c r="AZ61" i="42"/>
  <c r="AY61" i="42"/>
  <c r="AX61" i="42"/>
  <c r="AW61" i="42"/>
  <c r="AV61" i="42"/>
  <c r="AU61" i="42"/>
  <c r="AT61" i="42"/>
  <c r="AS61" i="42"/>
  <c r="BG60" i="42"/>
  <c r="BF60" i="42"/>
  <c r="BE60" i="42"/>
  <c r="BD60" i="42"/>
  <c r="BC60" i="42"/>
  <c r="BB60" i="42"/>
  <c r="BA60" i="42"/>
  <c r="AZ60" i="42"/>
  <c r="AY60" i="42"/>
  <c r="AX60" i="42"/>
  <c r="AW60" i="42"/>
  <c r="AV60" i="42"/>
  <c r="AU60" i="42"/>
  <c r="AT60" i="42"/>
  <c r="AS60" i="42"/>
  <c r="BG59" i="42"/>
  <c r="BF59" i="42"/>
  <c r="BE59" i="42"/>
  <c r="BD59" i="42"/>
  <c r="BC59" i="42"/>
  <c r="BB59" i="42"/>
  <c r="BA59" i="42"/>
  <c r="AZ59" i="42"/>
  <c r="AY59" i="42"/>
  <c r="AX59" i="42"/>
  <c r="AW59" i="42"/>
  <c r="AV59" i="42"/>
  <c r="AU59" i="42"/>
  <c r="AT59" i="42"/>
  <c r="AS59" i="42"/>
  <c r="BG58" i="42"/>
  <c r="BF58" i="42"/>
  <c r="BE58" i="42"/>
  <c r="BD58" i="42"/>
  <c r="BC58" i="42"/>
  <c r="BB58" i="42"/>
  <c r="BA58" i="42"/>
  <c r="AZ58" i="42"/>
  <c r="AY58" i="42"/>
  <c r="AX58" i="42"/>
  <c r="AW58" i="42"/>
  <c r="AV58" i="42"/>
  <c r="AU58" i="42"/>
  <c r="AT58" i="42"/>
  <c r="AS58" i="42"/>
  <c r="BG57" i="42"/>
  <c r="BF57" i="42"/>
  <c r="BE57" i="42"/>
  <c r="BD57" i="42"/>
  <c r="BC57" i="42"/>
  <c r="BB57" i="42"/>
  <c r="BA57" i="42"/>
  <c r="AZ57" i="42"/>
  <c r="AY57" i="42"/>
  <c r="AX57" i="42"/>
  <c r="AW57" i="42"/>
  <c r="AV57" i="42"/>
  <c r="AU57" i="42"/>
  <c r="AT57" i="42"/>
  <c r="AS57" i="42"/>
  <c r="BG56" i="42"/>
  <c r="BF56" i="42"/>
  <c r="BE56" i="42"/>
  <c r="BD56" i="42"/>
  <c r="BC56" i="42"/>
  <c r="BB56" i="42"/>
  <c r="BA56" i="42"/>
  <c r="AZ56" i="42"/>
  <c r="AY56" i="42"/>
  <c r="AX56" i="42"/>
  <c r="AW56" i="42"/>
  <c r="AV56" i="42"/>
  <c r="AU56" i="42"/>
  <c r="AT56" i="42"/>
  <c r="AS56" i="42"/>
  <c r="BG55" i="42"/>
  <c r="BF55" i="42"/>
  <c r="BE55" i="42"/>
  <c r="BD55" i="42"/>
  <c r="BC55" i="42"/>
  <c r="BB55" i="42"/>
  <c r="BA55" i="42"/>
  <c r="AZ55" i="42"/>
  <c r="AY55" i="42"/>
  <c r="AX55" i="42"/>
  <c r="AW55" i="42"/>
  <c r="AV55" i="42"/>
  <c r="AU55" i="42"/>
  <c r="AT55" i="42"/>
  <c r="AS55" i="42"/>
  <c r="BG54" i="42"/>
  <c r="BF54" i="42"/>
  <c r="BE54" i="42"/>
  <c r="BD54" i="42"/>
  <c r="BC54" i="42"/>
  <c r="BB54" i="42"/>
  <c r="BA54" i="42"/>
  <c r="AZ54" i="42"/>
  <c r="AY54" i="42"/>
  <c r="AX54" i="42"/>
  <c r="AW54" i="42"/>
  <c r="AV54" i="42"/>
  <c r="AU54" i="42"/>
  <c r="AT54" i="42"/>
  <c r="AS54" i="42"/>
  <c r="BG53" i="42"/>
  <c r="BF53" i="42"/>
  <c r="BE53" i="42"/>
  <c r="BD53" i="42"/>
  <c r="BC53" i="42"/>
  <c r="BB53" i="42"/>
  <c r="BA53" i="42"/>
  <c r="AZ53" i="42"/>
  <c r="AY53" i="42"/>
  <c r="AX53" i="42"/>
  <c r="AW53" i="42"/>
  <c r="AV53" i="42"/>
  <c r="AU53" i="42"/>
  <c r="AT53" i="42"/>
  <c r="AS53" i="42"/>
  <c r="BG52" i="42"/>
  <c r="BF52" i="42"/>
  <c r="BE52" i="42"/>
  <c r="BD52" i="42"/>
  <c r="BC52" i="42"/>
  <c r="BB52" i="42"/>
  <c r="BA52" i="42"/>
  <c r="AZ52" i="42"/>
  <c r="AY52" i="42"/>
  <c r="AX52" i="42"/>
  <c r="AW52" i="42"/>
  <c r="AV52" i="42"/>
  <c r="AU52" i="42"/>
  <c r="AT52" i="42"/>
  <c r="AS52" i="42"/>
  <c r="BG51" i="42"/>
  <c r="BF51" i="42"/>
  <c r="BE51" i="42"/>
  <c r="BD51" i="42"/>
  <c r="BC51" i="42"/>
  <c r="BB51" i="42"/>
  <c r="BA51" i="42"/>
  <c r="AZ51" i="42"/>
  <c r="AY51" i="42"/>
  <c r="AX51" i="42"/>
  <c r="AW51" i="42"/>
  <c r="AV51" i="42"/>
  <c r="AU51" i="42"/>
  <c r="AT51" i="42"/>
  <c r="AS51" i="42"/>
  <c r="BG50" i="42"/>
  <c r="BF50" i="42"/>
  <c r="BE50" i="42"/>
  <c r="BD50" i="42"/>
  <c r="BC50" i="42"/>
  <c r="BB50" i="42"/>
  <c r="BA50" i="42"/>
  <c r="AZ50" i="42"/>
  <c r="AY50" i="42"/>
  <c r="AX50" i="42"/>
  <c r="AW50" i="42"/>
  <c r="AV50" i="42"/>
  <c r="AU50" i="42"/>
  <c r="AT50" i="42"/>
  <c r="AS50" i="42"/>
  <c r="BG49" i="42"/>
  <c r="BF49" i="42"/>
  <c r="BE49" i="42"/>
  <c r="BD49" i="42"/>
  <c r="BC49" i="42"/>
  <c r="BB49" i="42"/>
  <c r="BA49" i="42"/>
  <c r="AZ49" i="42"/>
  <c r="AY49" i="42"/>
  <c r="AX49" i="42"/>
  <c r="AW49" i="42"/>
  <c r="AV49" i="42"/>
  <c r="AU49" i="42"/>
  <c r="AT49" i="42"/>
  <c r="AS49" i="42"/>
  <c r="BG48" i="42"/>
  <c r="BF48" i="42"/>
  <c r="BE48" i="42"/>
  <c r="BD48" i="42"/>
  <c r="BC48" i="42"/>
  <c r="BB48" i="42"/>
  <c r="BA48" i="42"/>
  <c r="AZ48" i="42"/>
  <c r="AY48" i="42"/>
  <c r="AX48" i="42"/>
  <c r="AW48" i="42"/>
  <c r="AV48" i="42"/>
  <c r="AU48" i="42"/>
  <c r="AT48" i="42"/>
  <c r="AS48" i="42"/>
  <c r="BG47" i="42"/>
  <c r="BF47" i="42"/>
  <c r="BE47" i="42"/>
  <c r="BD47" i="42"/>
  <c r="BC47" i="42"/>
  <c r="BB47" i="42"/>
  <c r="BA47" i="42"/>
  <c r="AZ47" i="42"/>
  <c r="AY47" i="42"/>
  <c r="AX47" i="42"/>
  <c r="AW47" i="42"/>
  <c r="AV47" i="42"/>
  <c r="AU47" i="42"/>
  <c r="AT47" i="42"/>
  <c r="AS47" i="42"/>
  <c r="BG46" i="42"/>
  <c r="BF46" i="42"/>
  <c r="BE46" i="42"/>
  <c r="BD46" i="42"/>
  <c r="BC46" i="42"/>
  <c r="BB46" i="42"/>
  <c r="BA46" i="42"/>
  <c r="AZ46" i="42"/>
  <c r="AY46" i="42"/>
  <c r="AX46" i="42"/>
  <c r="AW46" i="42"/>
  <c r="AV46" i="42"/>
  <c r="AU46" i="42"/>
  <c r="AT46" i="42"/>
  <c r="AS46" i="42"/>
  <c r="BG45" i="42"/>
  <c r="BF45" i="42"/>
  <c r="BE45" i="42"/>
  <c r="BD45" i="42"/>
  <c r="BC45" i="42"/>
  <c r="BB45" i="42"/>
  <c r="BA45" i="42"/>
  <c r="AZ45" i="42"/>
  <c r="AY45" i="42"/>
  <c r="AX45" i="42"/>
  <c r="AW45" i="42"/>
  <c r="AV45" i="42"/>
  <c r="AU45" i="42"/>
  <c r="AT45" i="42"/>
  <c r="AS45" i="42"/>
  <c r="BG44" i="42"/>
  <c r="BF44" i="42"/>
  <c r="BE44" i="42"/>
  <c r="BD44" i="42"/>
  <c r="BC44" i="42"/>
  <c r="BB44" i="42"/>
  <c r="BA44" i="42"/>
  <c r="AZ44" i="42"/>
  <c r="AY44" i="42"/>
  <c r="AX44" i="42"/>
  <c r="AW44" i="42"/>
  <c r="AV44" i="42"/>
  <c r="AU44" i="42"/>
  <c r="AT44" i="42"/>
  <c r="AS44" i="42"/>
  <c r="BG43" i="42"/>
  <c r="BF43" i="42"/>
  <c r="BE43" i="42"/>
  <c r="BD43" i="42"/>
  <c r="BC43" i="42"/>
  <c r="BB43" i="42"/>
  <c r="BA43" i="42"/>
  <c r="AZ43" i="42"/>
  <c r="AY43" i="42"/>
  <c r="AX43" i="42"/>
  <c r="AW43" i="42"/>
  <c r="AV43" i="42"/>
  <c r="AU43" i="42"/>
  <c r="AT43" i="42"/>
  <c r="AS43" i="42"/>
  <c r="BG42" i="42"/>
  <c r="BF42" i="42"/>
  <c r="BE42" i="42"/>
  <c r="BD42" i="42"/>
  <c r="BC42" i="42"/>
  <c r="BB42" i="42"/>
  <c r="BA42" i="42"/>
  <c r="AZ42" i="42"/>
  <c r="AY42" i="42"/>
  <c r="AX42" i="42"/>
  <c r="AW42" i="42"/>
  <c r="AV42" i="42"/>
  <c r="AU42" i="42"/>
  <c r="AT42" i="42"/>
  <c r="AS42" i="42"/>
  <c r="BG41" i="42"/>
  <c r="BF41" i="42"/>
  <c r="BE41" i="42"/>
  <c r="BD41" i="42"/>
  <c r="BC41" i="42"/>
  <c r="BB41" i="42"/>
  <c r="BA41" i="42"/>
  <c r="AZ41" i="42"/>
  <c r="AY41" i="42"/>
  <c r="AX41" i="42"/>
  <c r="AW41" i="42"/>
  <c r="AV41" i="42"/>
  <c r="AU41" i="42"/>
  <c r="AT41" i="42"/>
  <c r="AS41" i="42"/>
  <c r="BG40" i="42"/>
  <c r="BF40" i="42"/>
  <c r="BE40" i="42"/>
  <c r="BD40" i="42"/>
  <c r="BC40" i="42"/>
  <c r="BB40" i="42"/>
  <c r="BA40" i="42"/>
  <c r="AZ40" i="42"/>
  <c r="AY40" i="42"/>
  <c r="AX40" i="42"/>
  <c r="AW40" i="42"/>
  <c r="AV40" i="42"/>
  <c r="AU40" i="42"/>
  <c r="AT40" i="42"/>
  <c r="AS40" i="42"/>
  <c r="BG39" i="42"/>
  <c r="BF39" i="42"/>
  <c r="BE39" i="42"/>
  <c r="BD39" i="42"/>
  <c r="BC39" i="42"/>
  <c r="BB39" i="42"/>
  <c r="BA39" i="42"/>
  <c r="AZ39" i="42"/>
  <c r="AY39" i="42"/>
  <c r="AX39" i="42"/>
  <c r="AW39" i="42"/>
  <c r="AV39" i="42"/>
  <c r="AU39" i="42"/>
  <c r="AT39" i="42"/>
  <c r="AS39" i="42"/>
  <c r="BG38" i="42"/>
  <c r="BF38" i="42"/>
  <c r="BE38" i="42"/>
  <c r="BD38" i="42"/>
  <c r="BC38" i="42"/>
  <c r="BB38" i="42"/>
  <c r="BA38" i="42"/>
  <c r="AZ38" i="42"/>
  <c r="AY38" i="42"/>
  <c r="AX38" i="42"/>
  <c r="AW38" i="42"/>
  <c r="AV38" i="42"/>
  <c r="AU38" i="42"/>
  <c r="AT38" i="42"/>
  <c r="AS38" i="42"/>
  <c r="BG37" i="42"/>
  <c r="BF37" i="42"/>
  <c r="BE37" i="42"/>
  <c r="BD37" i="42"/>
  <c r="BC37" i="42"/>
  <c r="BB37" i="42"/>
  <c r="BA37" i="42"/>
  <c r="AZ37" i="42"/>
  <c r="AY37" i="42"/>
  <c r="AX37" i="42"/>
  <c r="AW37" i="42"/>
  <c r="AV37" i="42"/>
  <c r="AU37" i="42"/>
  <c r="AT37" i="42"/>
  <c r="AS37" i="42"/>
  <c r="BG36" i="42"/>
  <c r="BF36" i="42"/>
  <c r="BE36" i="42"/>
  <c r="BD36" i="42"/>
  <c r="BC36" i="42"/>
  <c r="BB36" i="42"/>
  <c r="BA36" i="42"/>
  <c r="AZ36" i="42"/>
  <c r="AY36" i="42"/>
  <c r="AX36" i="42"/>
  <c r="AW36" i="42"/>
  <c r="AV36" i="42"/>
  <c r="AU36" i="42"/>
  <c r="AT36" i="42"/>
  <c r="AS36" i="42"/>
  <c r="BG35" i="42"/>
  <c r="BF35" i="42"/>
  <c r="BE35" i="42"/>
  <c r="BD35" i="42"/>
  <c r="BC35" i="42"/>
  <c r="BB35" i="42"/>
  <c r="BA35" i="42"/>
  <c r="AZ35" i="42"/>
  <c r="AY35" i="42"/>
  <c r="AX35" i="42"/>
  <c r="AW35" i="42"/>
  <c r="AV35" i="42"/>
  <c r="AU35" i="42"/>
  <c r="AT35" i="42"/>
  <c r="AS35" i="42"/>
  <c r="BG34" i="42"/>
  <c r="BF34" i="42"/>
  <c r="BE34" i="42"/>
  <c r="BD34" i="42"/>
  <c r="BC34" i="42"/>
  <c r="BB34" i="42"/>
  <c r="BA34" i="42"/>
  <c r="AZ34" i="42"/>
  <c r="AY34" i="42"/>
  <c r="AX34" i="42"/>
  <c r="AW34" i="42"/>
  <c r="AV34" i="42"/>
  <c r="AU34" i="42"/>
  <c r="AT34" i="42"/>
  <c r="AS34" i="42"/>
  <c r="BG33" i="42"/>
  <c r="BF33" i="42"/>
  <c r="BE33" i="42"/>
  <c r="BD33" i="42"/>
  <c r="BC33" i="42"/>
  <c r="BB33" i="42"/>
  <c r="BA33" i="42"/>
  <c r="AZ33" i="42"/>
  <c r="AY33" i="42"/>
  <c r="AX33" i="42"/>
  <c r="AW33" i="42"/>
  <c r="AV33" i="42"/>
  <c r="AU33" i="42"/>
  <c r="AT33" i="42"/>
  <c r="AS33" i="42"/>
  <c r="BG32" i="42"/>
  <c r="BF32" i="42"/>
  <c r="BE32" i="42"/>
  <c r="BD32" i="42"/>
  <c r="BC32" i="42"/>
  <c r="BB32" i="42"/>
  <c r="BA32" i="42"/>
  <c r="AZ32" i="42"/>
  <c r="AY32" i="42"/>
  <c r="AX32" i="42"/>
  <c r="AW32" i="42"/>
  <c r="AV32" i="42"/>
  <c r="AU32" i="42"/>
  <c r="AT32" i="42"/>
  <c r="AS32" i="42"/>
  <c r="BG31" i="42"/>
  <c r="BF31" i="42"/>
  <c r="BE31" i="42"/>
  <c r="BD31" i="42"/>
  <c r="BC31" i="42"/>
  <c r="BB31" i="42"/>
  <c r="BA31" i="42"/>
  <c r="AZ31" i="42"/>
  <c r="AY31" i="42"/>
  <c r="AX31" i="42"/>
  <c r="AW31" i="42"/>
  <c r="AV31" i="42"/>
  <c r="AU31" i="42"/>
  <c r="AT31" i="42"/>
  <c r="AS31" i="42"/>
  <c r="BG30" i="42"/>
  <c r="BF30" i="42"/>
  <c r="BE30" i="42"/>
  <c r="BD30" i="42"/>
  <c r="BC30" i="42"/>
  <c r="BB30" i="42"/>
  <c r="BA30" i="42"/>
  <c r="AZ30" i="42"/>
  <c r="AY30" i="42"/>
  <c r="AX30" i="42"/>
  <c r="AW30" i="42"/>
  <c r="AV30" i="42"/>
  <c r="AU30" i="42"/>
  <c r="AT30" i="42"/>
  <c r="AS30" i="42"/>
  <c r="BG29" i="42"/>
  <c r="BF29" i="42"/>
  <c r="BE29" i="42"/>
  <c r="BD29" i="42"/>
  <c r="BC29" i="42"/>
  <c r="BB29" i="42"/>
  <c r="BA29" i="42"/>
  <c r="AZ29" i="42"/>
  <c r="AY29" i="42"/>
  <c r="AX29" i="42"/>
  <c r="AW29" i="42"/>
  <c r="AV29" i="42"/>
  <c r="AU29" i="42"/>
  <c r="AT29" i="42"/>
  <c r="AS29" i="42"/>
  <c r="BG28" i="42"/>
  <c r="BF28" i="42"/>
  <c r="BE28" i="42"/>
  <c r="BD28" i="42"/>
  <c r="BC28" i="42"/>
  <c r="BB28" i="42"/>
  <c r="BA28" i="42"/>
  <c r="AZ28" i="42"/>
  <c r="AY28" i="42"/>
  <c r="AX28" i="42"/>
  <c r="AW28" i="42"/>
  <c r="AV28" i="42"/>
  <c r="AU28" i="42"/>
  <c r="AT28" i="42"/>
  <c r="AS28" i="42"/>
  <c r="BG27" i="42"/>
  <c r="BF27" i="42"/>
  <c r="BE27" i="42"/>
  <c r="BD27" i="42"/>
  <c r="BC27" i="42"/>
  <c r="BB27" i="42"/>
  <c r="BA27" i="42"/>
  <c r="AZ27" i="42"/>
  <c r="AY27" i="42"/>
  <c r="AX27" i="42"/>
  <c r="AW27" i="42"/>
  <c r="AV27" i="42"/>
  <c r="AU27" i="42"/>
  <c r="AT27" i="42"/>
  <c r="AS27" i="42"/>
  <c r="BG26" i="42"/>
  <c r="BF26" i="42"/>
  <c r="BE26" i="42"/>
  <c r="BD26" i="42"/>
  <c r="BC26" i="42"/>
  <c r="BB26" i="42"/>
  <c r="BA26" i="42"/>
  <c r="AZ26" i="42"/>
  <c r="AY26" i="42"/>
  <c r="AX26" i="42"/>
  <c r="AW26" i="42"/>
  <c r="AV26" i="42"/>
  <c r="AU26" i="42"/>
  <c r="AT26" i="42"/>
  <c r="AS26" i="42"/>
  <c r="H26" i="42"/>
  <c r="E26" i="42"/>
  <c r="C26" i="42"/>
  <c r="BG25" i="42"/>
  <c r="BF25" i="42"/>
  <c r="BE25" i="42"/>
  <c r="BD25" i="42"/>
  <c r="BC25" i="42"/>
  <c r="BB25" i="42"/>
  <c r="BA25" i="42"/>
  <c r="AZ25" i="42"/>
  <c r="AY25" i="42"/>
  <c r="AX25" i="42"/>
  <c r="AW25" i="42"/>
  <c r="AV25" i="42"/>
  <c r="AU25" i="42"/>
  <c r="AT25" i="42"/>
  <c r="AS25" i="42"/>
  <c r="E25" i="42"/>
  <c r="BG24" i="42"/>
  <c r="BF24" i="42"/>
  <c r="BE24" i="42"/>
  <c r="BD24" i="42"/>
  <c r="BC24" i="42"/>
  <c r="BB24" i="42"/>
  <c r="BA24" i="42"/>
  <c r="AZ24" i="42"/>
  <c r="AY24" i="42"/>
  <c r="AX24" i="42"/>
  <c r="AW24" i="42"/>
  <c r="AV24" i="42"/>
  <c r="AU24" i="42"/>
  <c r="AT24" i="42"/>
  <c r="AS24" i="42"/>
  <c r="BG23" i="42"/>
  <c r="BF23" i="42"/>
  <c r="BE23" i="42"/>
  <c r="BD23" i="42"/>
  <c r="BC23" i="42"/>
  <c r="BB23" i="42"/>
  <c r="BA23" i="42"/>
  <c r="AZ23" i="42"/>
  <c r="AY23" i="42"/>
  <c r="AX23" i="42"/>
  <c r="AW23" i="42"/>
  <c r="AV23" i="42"/>
  <c r="AU23" i="42"/>
  <c r="AT23" i="42"/>
  <c r="AS23" i="42"/>
  <c r="G23" i="42"/>
  <c r="G24" i="42" s="1"/>
  <c r="BG22" i="42"/>
  <c r="BF22" i="42"/>
  <c r="BE22" i="42"/>
  <c r="BD22" i="42"/>
  <c r="BC22" i="42"/>
  <c r="BB22" i="42"/>
  <c r="BA22" i="42"/>
  <c r="AZ22" i="42"/>
  <c r="AY22" i="42"/>
  <c r="AX22" i="42"/>
  <c r="AW22" i="42"/>
  <c r="AV22" i="42"/>
  <c r="AU22" i="42"/>
  <c r="AT22" i="42"/>
  <c r="AS22" i="42"/>
  <c r="BG21" i="42"/>
  <c r="BF21" i="42"/>
  <c r="BE21" i="42"/>
  <c r="BD21" i="42"/>
  <c r="BC21" i="42"/>
  <c r="BB21" i="42"/>
  <c r="BA21" i="42"/>
  <c r="AZ21" i="42"/>
  <c r="AY21" i="42"/>
  <c r="AX21" i="42"/>
  <c r="AW21" i="42"/>
  <c r="AV21" i="42"/>
  <c r="AU21" i="42"/>
  <c r="AT21" i="42"/>
  <c r="AS21" i="42"/>
  <c r="AN21" i="42"/>
  <c r="AM21" i="42"/>
  <c r="AL21" i="42"/>
  <c r="AK21" i="42"/>
  <c r="AJ21" i="42"/>
  <c r="AI21" i="42"/>
  <c r="AH21" i="42"/>
  <c r="AG21" i="42"/>
  <c r="AF21" i="42"/>
  <c r="AE21" i="42"/>
  <c r="AD21" i="42"/>
  <c r="AC21" i="42"/>
  <c r="AB21" i="42"/>
  <c r="AA21" i="42"/>
  <c r="Z21" i="42"/>
  <c r="Y21" i="42"/>
  <c r="X21" i="42"/>
  <c r="W21" i="42"/>
  <c r="V21" i="42"/>
  <c r="U21" i="42"/>
  <c r="T21" i="42"/>
  <c r="S21" i="42"/>
  <c r="R21" i="42"/>
  <c r="Q21" i="42"/>
  <c r="P21" i="42"/>
  <c r="O21" i="42"/>
  <c r="N21" i="42"/>
  <c r="M21" i="42"/>
  <c r="L21" i="42"/>
  <c r="K21" i="42"/>
  <c r="J21" i="42"/>
  <c r="I21" i="42"/>
  <c r="H21" i="42"/>
  <c r="G21" i="42"/>
  <c r="BG20" i="42"/>
  <c r="BF20" i="42"/>
  <c r="BE20" i="42"/>
  <c r="BD20" i="42"/>
  <c r="BC20" i="42"/>
  <c r="BB20" i="42"/>
  <c r="BA20" i="42"/>
  <c r="AZ20" i="42"/>
  <c r="AY20" i="42"/>
  <c r="AX20" i="42"/>
  <c r="AW20" i="42"/>
  <c r="AV20" i="42"/>
  <c r="AU20" i="42"/>
  <c r="AT20" i="42"/>
  <c r="AS20" i="42"/>
  <c r="BG19" i="42"/>
  <c r="BF19" i="42"/>
  <c r="BE19" i="42"/>
  <c r="BD19" i="42"/>
  <c r="BC19" i="42"/>
  <c r="BB19" i="42"/>
  <c r="BA19" i="42"/>
  <c r="AZ19" i="42"/>
  <c r="AY19" i="42"/>
  <c r="AX19" i="42"/>
  <c r="AW19" i="42"/>
  <c r="AV19" i="42"/>
  <c r="AU19" i="42"/>
  <c r="AT19" i="42"/>
  <c r="AS19" i="42"/>
  <c r="BG18" i="42"/>
  <c r="BF18" i="42"/>
  <c r="BE18" i="42"/>
  <c r="BD18" i="42"/>
  <c r="BC18" i="42"/>
  <c r="BB18" i="42"/>
  <c r="BA18" i="42"/>
  <c r="AZ18" i="42"/>
  <c r="AY18" i="42"/>
  <c r="AX18" i="42"/>
  <c r="AW18" i="42"/>
  <c r="AV18" i="42"/>
  <c r="AU18" i="42"/>
  <c r="AT18" i="42"/>
  <c r="AS18" i="42"/>
  <c r="AK18" i="42"/>
  <c r="AH18" i="42"/>
  <c r="AE18" i="42"/>
  <c r="I18" i="42"/>
  <c r="D18" i="42"/>
  <c r="C25" i="42" s="1"/>
  <c r="BG17" i="42"/>
  <c r="BF17" i="42"/>
  <c r="BE17" i="42"/>
  <c r="BD17" i="42"/>
  <c r="BC17" i="42"/>
  <c r="BB17" i="42"/>
  <c r="BA17" i="42"/>
  <c r="AZ17" i="42"/>
  <c r="AY17" i="42"/>
  <c r="AX17" i="42"/>
  <c r="AW17" i="42"/>
  <c r="AV17" i="42"/>
  <c r="AU17" i="42"/>
  <c r="AT17" i="42"/>
  <c r="AS17" i="42"/>
  <c r="BG16" i="42"/>
  <c r="BF16" i="42"/>
  <c r="BE16" i="42"/>
  <c r="BD16" i="42"/>
  <c r="BC16" i="42"/>
  <c r="BB16" i="42"/>
  <c r="BA16" i="42"/>
  <c r="AZ16" i="42"/>
  <c r="AY16" i="42"/>
  <c r="AX16" i="42"/>
  <c r="AW16" i="42"/>
  <c r="AV16" i="42"/>
  <c r="AU16" i="42"/>
  <c r="AT16" i="42"/>
  <c r="AS16" i="42"/>
  <c r="AN16" i="42"/>
  <c r="AM16" i="42"/>
  <c r="AL16" i="42"/>
  <c r="AK16" i="42"/>
  <c r="AJ16" i="42"/>
  <c r="AI16" i="42"/>
  <c r="AH16" i="42"/>
  <c r="AG16" i="42"/>
  <c r="AF16" i="42"/>
  <c r="AE16" i="42"/>
  <c r="AD16" i="42"/>
  <c r="AC16" i="42"/>
  <c r="AB16" i="42"/>
  <c r="AA16" i="42"/>
  <c r="Z16" i="42"/>
  <c r="Y16" i="42"/>
  <c r="X16" i="42"/>
  <c r="W16" i="42"/>
  <c r="V16" i="42"/>
  <c r="U16" i="42"/>
  <c r="T16" i="42"/>
  <c r="S16" i="42"/>
  <c r="R16" i="42"/>
  <c r="Q16" i="42"/>
  <c r="P16" i="42"/>
  <c r="O16" i="42"/>
  <c r="N16" i="42"/>
  <c r="M16" i="42"/>
  <c r="L16" i="42"/>
  <c r="K16" i="42"/>
  <c r="J16" i="42"/>
  <c r="I16" i="42"/>
  <c r="H16" i="42"/>
  <c r="G16" i="42"/>
  <c r="BG15" i="42"/>
  <c r="BF15" i="42"/>
  <c r="BE15" i="42"/>
  <c r="BD15" i="42"/>
  <c r="BC15" i="42"/>
  <c r="BB15" i="42"/>
  <c r="BA15" i="42"/>
  <c r="AZ15" i="42"/>
  <c r="AY15" i="42"/>
  <c r="AX15" i="42"/>
  <c r="AW15" i="42"/>
  <c r="AV15" i="42"/>
  <c r="AU15" i="42"/>
  <c r="AT15" i="42"/>
  <c r="AS15" i="42"/>
  <c r="BG14" i="42"/>
  <c r="BF14" i="42"/>
  <c r="BE14" i="42"/>
  <c r="BD14" i="42"/>
  <c r="BC14" i="42"/>
  <c r="BB14" i="42"/>
  <c r="BA14" i="42"/>
  <c r="AZ14" i="42"/>
  <c r="AY14" i="42"/>
  <c r="AX14" i="42"/>
  <c r="AW14" i="42"/>
  <c r="AV14" i="42"/>
  <c r="AU14" i="42"/>
  <c r="AT14" i="42"/>
  <c r="AS14" i="42"/>
  <c r="AP14" i="42"/>
  <c r="E14" i="42"/>
  <c r="BG13" i="42"/>
  <c r="BF13" i="42"/>
  <c r="BE13" i="42"/>
  <c r="BD13" i="42"/>
  <c r="BC13" i="42"/>
  <c r="BB13" i="42"/>
  <c r="BA13" i="42"/>
  <c r="AZ13" i="42"/>
  <c r="AY13" i="42"/>
  <c r="AX13" i="42"/>
  <c r="AW13" i="42"/>
  <c r="AV13" i="42"/>
  <c r="AU13" i="42"/>
  <c r="AT13" i="42"/>
  <c r="AS13" i="42"/>
  <c r="E13" i="42"/>
  <c r="BG12" i="42"/>
  <c r="BF12" i="42"/>
  <c r="BE12" i="42"/>
  <c r="BD12" i="42"/>
  <c r="BC12" i="42"/>
  <c r="BB12" i="42"/>
  <c r="BA12" i="42"/>
  <c r="AZ12" i="42"/>
  <c r="AY12" i="42"/>
  <c r="AX12" i="42"/>
  <c r="AW12" i="42"/>
  <c r="AV12" i="42"/>
  <c r="AU12" i="42"/>
  <c r="AT12" i="42"/>
  <c r="AS12" i="42"/>
  <c r="E12" i="42"/>
  <c r="BG11" i="42"/>
  <c r="BF11" i="42"/>
  <c r="BE11" i="42"/>
  <c r="BD11" i="42"/>
  <c r="BC11" i="42"/>
  <c r="BB11" i="42"/>
  <c r="BA11" i="42"/>
  <c r="AZ11" i="42"/>
  <c r="AY11" i="42"/>
  <c r="AX11" i="42"/>
  <c r="AW11" i="42"/>
  <c r="AV11" i="42"/>
  <c r="AU11" i="42"/>
  <c r="AT11" i="42"/>
  <c r="AS11" i="42"/>
  <c r="AP11" i="42"/>
  <c r="E11" i="42"/>
  <c r="BG10" i="42"/>
  <c r="BF10" i="42"/>
  <c r="BE10" i="42"/>
  <c r="BD10" i="42"/>
  <c r="BC10" i="42"/>
  <c r="BB10" i="42"/>
  <c r="BA10" i="42"/>
  <c r="AZ10" i="42"/>
  <c r="AY10" i="42"/>
  <c r="AX10" i="42"/>
  <c r="AW10" i="42"/>
  <c r="AV10" i="42"/>
  <c r="AU10" i="42"/>
  <c r="AT10" i="42"/>
  <c r="AS10" i="42"/>
  <c r="E10" i="42"/>
  <c r="BG9" i="42"/>
  <c r="BF9" i="42"/>
  <c r="BE9" i="42"/>
  <c r="BD9" i="42"/>
  <c r="BC9" i="42"/>
  <c r="BB9" i="42"/>
  <c r="BA9" i="42"/>
  <c r="AZ9" i="42"/>
  <c r="AY9" i="42"/>
  <c r="AX9" i="42"/>
  <c r="AW9" i="42"/>
  <c r="AV9" i="42"/>
  <c r="AU9" i="42"/>
  <c r="AT9" i="42"/>
  <c r="AS9" i="42"/>
  <c r="AP9" i="42"/>
  <c r="E9" i="42"/>
  <c r="BG8" i="42"/>
  <c r="BF8" i="42"/>
  <c r="BE8" i="42"/>
  <c r="BD8" i="42"/>
  <c r="BC8" i="42"/>
  <c r="BB8" i="42"/>
  <c r="BA8" i="42"/>
  <c r="AZ8" i="42"/>
  <c r="AY8" i="42"/>
  <c r="AX8" i="42"/>
  <c r="AW8" i="42"/>
  <c r="AV8" i="42"/>
  <c r="AU8" i="42"/>
  <c r="AT8" i="42"/>
  <c r="AS8" i="42"/>
  <c r="E8" i="42"/>
  <c r="BG7" i="42"/>
  <c r="BF7" i="42"/>
  <c r="BE7" i="42"/>
  <c r="BD7" i="42"/>
  <c r="BC7" i="42"/>
  <c r="BB7" i="42"/>
  <c r="BA7" i="42"/>
  <c r="AZ7" i="42"/>
  <c r="AY7" i="42"/>
  <c r="AX7" i="42"/>
  <c r="AW7" i="42"/>
  <c r="AV7" i="42"/>
  <c r="AU7" i="42"/>
  <c r="AT7" i="42"/>
  <c r="AS7" i="42"/>
  <c r="AP7" i="42"/>
  <c r="E7" i="42"/>
  <c r="BG6" i="42"/>
  <c r="BF6" i="42"/>
  <c r="BE6" i="42"/>
  <c r="BD6" i="42"/>
  <c r="BC6" i="42"/>
  <c r="BB6" i="42"/>
  <c r="BA6" i="42"/>
  <c r="AZ6" i="42"/>
  <c r="AY6" i="42"/>
  <c r="AX6" i="42"/>
  <c r="AW6" i="42"/>
  <c r="AV6" i="42"/>
  <c r="AU6" i="42"/>
  <c r="AT6" i="42"/>
  <c r="AS6" i="42"/>
  <c r="E6" i="42"/>
  <c r="BG5" i="42"/>
  <c r="BF5" i="42"/>
  <c r="BE5" i="42"/>
  <c r="BD5" i="42"/>
  <c r="BC5" i="42"/>
  <c r="BB5" i="42"/>
  <c r="BA5" i="42"/>
  <c r="AZ5" i="42"/>
  <c r="AY5" i="42"/>
  <c r="AX5" i="42"/>
  <c r="AW5" i="42"/>
  <c r="AV5" i="42"/>
  <c r="AU5" i="42"/>
  <c r="AT5" i="42"/>
  <c r="AS5" i="42"/>
  <c r="E5" i="42"/>
  <c r="BG4" i="42"/>
  <c r="BF4" i="42"/>
  <c r="BE4" i="42"/>
  <c r="BD4" i="42"/>
  <c r="BC4" i="42"/>
  <c r="BB4" i="42"/>
  <c r="BA4" i="42"/>
  <c r="AZ4" i="42"/>
  <c r="AY4" i="42"/>
  <c r="AX4" i="42"/>
  <c r="AW4" i="42"/>
  <c r="AV4" i="42"/>
  <c r="AU4" i="42"/>
  <c r="AT4" i="42"/>
  <c r="AS4" i="42"/>
  <c r="AP4" i="42"/>
  <c r="E4" i="42"/>
  <c r="E18" i="42" s="1"/>
  <c r="BG3" i="42"/>
  <c r="BF3" i="42"/>
  <c r="BE3" i="42"/>
  <c r="BD3" i="42"/>
  <c r="BC3" i="42"/>
  <c r="BB3" i="42"/>
  <c r="BA3" i="42"/>
  <c r="AZ3" i="42"/>
  <c r="AY3" i="42"/>
  <c r="AX3" i="42"/>
  <c r="AW3" i="42"/>
  <c r="AV3" i="42"/>
  <c r="AU3" i="42"/>
  <c r="AT3" i="42"/>
  <c r="AS3" i="42"/>
  <c r="BG2" i="42"/>
  <c r="BF2" i="42"/>
  <c r="BE2" i="42"/>
  <c r="BD2" i="42"/>
  <c r="BC2" i="42"/>
  <c r="BB2" i="42"/>
  <c r="BA2" i="42"/>
  <c r="AZ2" i="42"/>
  <c r="AY2" i="42"/>
  <c r="AX2" i="42"/>
  <c r="AW2" i="42"/>
  <c r="AV2" i="42"/>
  <c r="AU2" i="42"/>
  <c r="AT2" i="42"/>
  <c r="AS2" i="42"/>
  <c r="BG62" i="41"/>
  <c r="BF62" i="41"/>
  <c r="BE62" i="41"/>
  <c r="BD62" i="41"/>
  <c r="BC62" i="41"/>
  <c r="BB62" i="41"/>
  <c r="BA62" i="41"/>
  <c r="AZ62" i="41"/>
  <c r="AY62" i="41"/>
  <c r="AX62" i="41"/>
  <c r="AW62" i="41"/>
  <c r="AV62" i="41"/>
  <c r="AU62" i="41"/>
  <c r="AT62" i="41"/>
  <c r="AS62" i="41"/>
  <c r="BG61" i="41"/>
  <c r="BF61" i="41"/>
  <c r="BE61" i="41"/>
  <c r="BD61" i="41"/>
  <c r="BC61" i="41"/>
  <c r="BB61" i="41"/>
  <c r="BA61" i="41"/>
  <c r="AZ61" i="41"/>
  <c r="AY61" i="41"/>
  <c r="AX61" i="41"/>
  <c r="AW61" i="41"/>
  <c r="AV61" i="41"/>
  <c r="AU61" i="41"/>
  <c r="AT61" i="41"/>
  <c r="AS61" i="41"/>
  <c r="BG60" i="41"/>
  <c r="BF60" i="41"/>
  <c r="BE60" i="41"/>
  <c r="BD60" i="41"/>
  <c r="BC60" i="41"/>
  <c r="BB60" i="41"/>
  <c r="BA60" i="41"/>
  <c r="AZ60" i="41"/>
  <c r="AY60" i="41"/>
  <c r="AX60" i="41"/>
  <c r="AW60" i="41"/>
  <c r="AV60" i="41"/>
  <c r="AU60" i="41"/>
  <c r="AT60" i="41"/>
  <c r="AS60" i="41"/>
  <c r="BG59" i="41"/>
  <c r="BF59" i="41"/>
  <c r="BE59" i="41"/>
  <c r="BD59" i="41"/>
  <c r="BC59" i="41"/>
  <c r="BB59" i="41"/>
  <c r="BA59" i="41"/>
  <c r="AZ59" i="41"/>
  <c r="AY59" i="41"/>
  <c r="AX59" i="41"/>
  <c r="AW59" i="41"/>
  <c r="AV59" i="41"/>
  <c r="AU59" i="41"/>
  <c r="AT59" i="41"/>
  <c r="AS59" i="41"/>
  <c r="BG58" i="41"/>
  <c r="BF58" i="41"/>
  <c r="BE58" i="41"/>
  <c r="BD58" i="41"/>
  <c r="BC58" i="41"/>
  <c r="BB58" i="41"/>
  <c r="BA58" i="41"/>
  <c r="AZ58" i="41"/>
  <c r="AY58" i="41"/>
  <c r="AX58" i="41"/>
  <c r="AW58" i="41"/>
  <c r="AV58" i="41"/>
  <c r="AU58" i="41"/>
  <c r="AT58" i="41"/>
  <c r="AS58" i="41"/>
  <c r="BG57" i="41"/>
  <c r="BF57" i="41"/>
  <c r="BE57" i="41"/>
  <c r="BD57" i="41"/>
  <c r="BC57" i="41"/>
  <c r="BB57" i="41"/>
  <c r="BA57" i="41"/>
  <c r="AZ57" i="41"/>
  <c r="AY57" i="41"/>
  <c r="AX57" i="41"/>
  <c r="AW57" i="41"/>
  <c r="AV57" i="41"/>
  <c r="AU57" i="41"/>
  <c r="AT57" i="41"/>
  <c r="AS57" i="41"/>
  <c r="BG56" i="41"/>
  <c r="BF56" i="41"/>
  <c r="BE56" i="41"/>
  <c r="BD56" i="41"/>
  <c r="BC56" i="41"/>
  <c r="BB56" i="41"/>
  <c r="BA56" i="41"/>
  <c r="AZ56" i="41"/>
  <c r="AY56" i="41"/>
  <c r="AX56" i="41"/>
  <c r="AW56" i="41"/>
  <c r="AV56" i="41"/>
  <c r="AU56" i="41"/>
  <c r="AT56" i="41"/>
  <c r="AS56" i="41"/>
  <c r="BG55" i="41"/>
  <c r="BF55" i="41"/>
  <c r="BE55" i="41"/>
  <c r="BD55" i="41"/>
  <c r="BC55" i="41"/>
  <c r="BB55" i="41"/>
  <c r="BA55" i="41"/>
  <c r="AZ55" i="41"/>
  <c r="AY55" i="41"/>
  <c r="AX55" i="41"/>
  <c r="AW55" i="41"/>
  <c r="AV55" i="41"/>
  <c r="AU55" i="41"/>
  <c r="AT55" i="41"/>
  <c r="AS55" i="41"/>
  <c r="BG54" i="41"/>
  <c r="BF54" i="41"/>
  <c r="BE54" i="41"/>
  <c r="BD54" i="41"/>
  <c r="BC54" i="41"/>
  <c r="BB54" i="41"/>
  <c r="BA54" i="41"/>
  <c r="AZ54" i="41"/>
  <c r="AY54" i="41"/>
  <c r="AX54" i="41"/>
  <c r="AW54" i="41"/>
  <c r="AV54" i="41"/>
  <c r="AU54" i="41"/>
  <c r="AT54" i="41"/>
  <c r="AS54" i="41"/>
  <c r="BG53" i="41"/>
  <c r="BF53" i="41"/>
  <c r="BE53" i="41"/>
  <c r="BD53" i="41"/>
  <c r="BC53" i="41"/>
  <c r="BB53" i="41"/>
  <c r="BA53" i="41"/>
  <c r="AZ53" i="41"/>
  <c r="AY53" i="41"/>
  <c r="AX53" i="41"/>
  <c r="AW53" i="41"/>
  <c r="AV53" i="41"/>
  <c r="AU53" i="41"/>
  <c r="AT53" i="41"/>
  <c r="AS53" i="41"/>
  <c r="BG52" i="41"/>
  <c r="BF52" i="41"/>
  <c r="BE52" i="41"/>
  <c r="BD52" i="41"/>
  <c r="BC52" i="41"/>
  <c r="BB52" i="41"/>
  <c r="BA52" i="41"/>
  <c r="AZ52" i="41"/>
  <c r="AY52" i="41"/>
  <c r="AX52" i="41"/>
  <c r="AW52" i="41"/>
  <c r="AV52" i="41"/>
  <c r="AU52" i="41"/>
  <c r="AT52" i="41"/>
  <c r="AS52" i="41"/>
  <c r="BG51" i="41"/>
  <c r="BF51" i="41"/>
  <c r="BE51" i="41"/>
  <c r="BD51" i="41"/>
  <c r="BC51" i="41"/>
  <c r="BB51" i="41"/>
  <c r="BA51" i="41"/>
  <c r="AZ51" i="41"/>
  <c r="AY51" i="41"/>
  <c r="AX51" i="41"/>
  <c r="AW51" i="41"/>
  <c r="AV51" i="41"/>
  <c r="AU51" i="41"/>
  <c r="AT51" i="41"/>
  <c r="AS51" i="41"/>
  <c r="BG50" i="41"/>
  <c r="BF50" i="41"/>
  <c r="BE50" i="41"/>
  <c r="BD50" i="41"/>
  <c r="BC50" i="41"/>
  <c r="BB50" i="41"/>
  <c r="BA50" i="41"/>
  <c r="AZ50" i="41"/>
  <c r="AY50" i="41"/>
  <c r="AX50" i="41"/>
  <c r="AW50" i="41"/>
  <c r="AV50" i="41"/>
  <c r="AU50" i="41"/>
  <c r="AT50" i="41"/>
  <c r="AS50" i="41"/>
  <c r="BG49" i="41"/>
  <c r="BF49" i="41"/>
  <c r="BE49" i="41"/>
  <c r="BD49" i="41"/>
  <c r="BC49" i="41"/>
  <c r="BB49" i="41"/>
  <c r="BA49" i="41"/>
  <c r="AZ49" i="41"/>
  <c r="AY49" i="41"/>
  <c r="AX49" i="41"/>
  <c r="AW49" i="41"/>
  <c r="AV49" i="41"/>
  <c r="AU49" i="41"/>
  <c r="AT49" i="41"/>
  <c r="AS49" i="41"/>
  <c r="BG48" i="41"/>
  <c r="BF48" i="41"/>
  <c r="BE48" i="41"/>
  <c r="BD48" i="41"/>
  <c r="BC48" i="41"/>
  <c r="BB48" i="41"/>
  <c r="BA48" i="41"/>
  <c r="AZ48" i="41"/>
  <c r="AY48" i="41"/>
  <c r="AX48" i="41"/>
  <c r="AW48" i="41"/>
  <c r="AV48" i="41"/>
  <c r="AU48" i="41"/>
  <c r="AT48" i="41"/>
  <c r="AS48" i="41"/>
  <c r="BG47" i="41"/>
  <c r="BF47" i="41"/>
  <c r="BE47" i="41"/>
  <c r="BD47" i="41"/>
  <c r="BC47" i="41"/>
  <c r="BB47" i="41"/>
  <c r="BA47" i="41"/>
  <c r="AZ47" i="41"/>
  <c r="AY47" i="41"/>
  <c r="AX47" i="41"/>
  <c r="AW47" i="41"/>
  <c r="AV47" i="41"/>
  <c r="AU47" i="41"/>
  <c r="AT47" i="41"/>
  <c r="AS47" i="41"/>
  <c r="BG46" i="41"/>
  <c r="BF46" i="41"/>
  <c r="BE46" i="41"/>
  <c r="BD46" i="41"/>
  <c r="BC46" i="41"/>
  <c r="BB46" i="41"/>
  <c r="BA46" i="41"/>
  <c r="AZ46" i="41"/>
  <c r="AY46" i="41"/>
  <c r="AX46" i="41"/>
  <c r="AW46" i="41"/>
  <c r="AV46" i="41"/>
  <c r="AU46" i="41"/>
  <c r="AT46" i="41"/>
  <c r="AS46" i="41"/>
  <c r="BG45" i="41"/>
  <c r="BF45" i="41"/>
  <c r="BE45" i="41"/>
  <c r="BD45" i="41"/>
  <c r="BC45" i="41"/>
  <c r="BB45" i="41"/>
  <c r="BA45" i="41"/>
  <c r="AZ45" i="41"/>
  <c r="AY45" i="41"/>
  <c r="AX45" i="41"/>
  <c r="AW45" i="41"/>
  <c r="AV45" i="41"/>
  <c r="AU45" i="41"/>
  <c r="AT45" i="41"/>
  <c r="AS45" i="41"/>
  <c r="BG44" i="41"/>
  <c r="BF44" i="41"/>
  <c r="BE44" i="41"/>
  <c r="BD44" i="41"/>
  <c r="BC44" i="41"/>
  <c r="BB44" i="41"/>
  <c r="BA44" i="41"/>
  <c r="AZ44" i="41"/>
  <c r="AY44" i="41"/>
  <c r="AX44" i="41"/>
  <c r="AW44" i="41"/>
  <c r="AV44" i="41"/>
  <c r="AU44" i="41"/>
  <c r="AT44" i="41"/>
  <c r="AS44" i="41"/>
  <c r="BG43" i="41"/>
  <c r="BF43" i="41"/>
  <c r="BE43" i="41"/>
  <c r="BD43" i="41"/>
  <c r="BC43" i="41"/>
  <c r="BB43" i="41"/>
  <c r="BA43" i="41"/>
  <c r="AZ43" i="41"/>
  <c r="AY43" i="41"/>
  <c r="AX43" i="41"/>
  <c r="AW43" i="41"/>
  <c r="AV43" i="41"/>
  <c r="AU43" i="41"/>
  <c r="AT43" i="41"/>
  <c r="AS43" i="41"/>
  <c r="BG42" i="41"/>
  <c r="BF42" i="41"/>
  <c r="BE42" i="41"/>
  <c r="BD42" i="41"/>
  <c r="BC42" i="41"/>
  <c r="BB42" i="41"/>
  <c r="BA42" i="41"/>
  <c r="AZ42" i="41"/>
  <c r="AY42" i="41"/>
  <c r="AX42" i="41"/>
  <c r="AW42" i="41"/>
  <c r="AV42" i="41"/>
  <c r="AU42" i="41"/>
  <c r="AT42" i="41"/>
  <c r="AS42" i="41"/>
  <c r="BG41" i="41"/>
  <c r="BF41" i="41"/>
  <c r="BE41" i="41"/>
  <c r="BD41" i="41"/>
  <c r="BC41" i="41"/>
  <c r="BB41" i="41"/>
  <c r="BA41" i="41"/>
  <c r="AZ41" i="41"/>
  <c r="AY41" i="41"/>
  <c r="AX41" i="41"/>
  <c r="AW41" i="41"/>
  <c r="AV41" i="41"/>
  <c r="AU41" i="41"/>
  <c r="AT41" i="41"/>
  <c r="AS41" i="41"/>
  <c r="BG40" i="41"/>
  <c r="BF40" i="41"/>
  <c r="BE40" i="41"/>
  <c r="BD40" i="41"/>
  <c r="BC40" i="41"/>
  <c r="BB40" i="41"/>
  <c r="BA40" i="41"/>
  <c r="AZ40" i="41"/>
  <c r="AY40" i="41"/>
  <c r="AX40" i="41"/>
  <c r="AW40" i="41"/>
  <c r="AV40" i="41"/>
  <c r="AU40" i="41"/>
  <c r="AT40" i="41"/>
  <c r="AS40" i="41"/>
  <c r="BG39" i="41"/>
  <c r="BF39" i="41"/>
  <c r="BE39" i="41"/>
  <c r="BD39" i="41"/>
  <c r="BC39" i="41"/>
  <c r="BB39" i="41"/>
  <c r="BA39" i="41"/>
  <c r="AZ39" i="41"/>
  <c r="AY39" i="41"/>
  <c r="AX39" i="41"/>
  <c r="AW39" i="41"/>
  <c r="AV39" i="41"/>
  <c r="AU39" i="41"/>
  <c r="AT39" i="41"/>
  <c r="AS39" i="41"/>
  <c r="BG38" i="41"/>
  <c r="BF38" i="41"/>
  <c r="BE38" i="41"/>
  <c r="BD38" i="41"/>
  <c r="BC38" i="41"/>
  <c r="BB38" i="41"/>
  <c r="BA38" i="41"/>
  <c r="AZ38" i="41"/>
  <c r="AY38" i="41"/>
  <c r="AX38" i="41"/>
  <c r="AW38" i="41"/>
  <c r="AV38" i="41"/>
  <c r="AU38" i="41"/>
  <c r="AT38" i="41"/>
  <c r="AS38" i="41"/>
  <c r="BG37" i="41"/>
  <c r="BF37" i="41"/>
  <c r="BE37" i="41"/>
  <c r="BD37" i="41"/>
  <c r="BC37" i="41"/>
  <c r="BB37" i="41"/>
  <c r="BA37" i="41"/>
  <c r="AZ37" i="41"/>
  <c r="AY37" i="41"/>
  <c r="AX37" i="41"/>
  <c r="AW37" i="41"/>
  <c r="AV37" i="41"/>
  <c r="AU37" i="41"/>
  <c r="AT37" i="41"/>
  <c r="AS37" i="41"/>
  <c r="BG36" i="41"/>
  <c r="BF36" i="41"/>
  <c r="BE36" i="41"/>
  <c r="BD36" i="41"/>
  <c r="BC36" i="41"/>
  <c r="BB36" i="41"/>
  <c r="BA36" i="41"/>
  <c r="AZ36" i="41"/>
  <c r="AY36" i="41"/>
  <c r="AX36" i="41"/>
  <c r="AW36" i="41"/>
  <c r="AV36" i="41"/>
  <c r="AU36" i="41"/>
  <c r="AT36" i="41"/>
  <c r="AS36" i="41"/>
  <c r="BG35" i="41"/>
  <c r="BF35" i="41"/>
  <c r="BE35" i="41"/>
  <c r="BD35" i="41"/>
  <c r="BC35" i="41"/>
  <c r="BB35" i="41"/>
  <c r="BA35" i="41"/>
  <c r="AZ35" i="41"/>
  <c r="AY35" i="41"/>
  <c r="AX35" i="41"/>
  <c r="AW35" i="41"/>
  <c r="AV35" i="41"/>
  <c r="AU35" i="41"/>
  <c r="AT35" i="41"/>
  <c r="AS35" i="41"/>
  <c r="BG34" i="41"/>
  <c r="BF34" i="41"/>
  <c r="BE34" i="41"/>
  <c r="BD34" i="41"/>
  <c r="BC34" i="41"/>
  <c r="BB34" i="41"/>
  <c r="BA34" i="41"/>
  <c r="AZ34" i="41"/>
  <c r="AY34" i="41"/>
  <c r="AX34" i="41"/>
  <c r="AW34" i="41"/>
  <c r="AV34" i="41"/>
  <c r="AU34" i="41"/>
  <c r="AT34" i="41"/>
  <c r="AS34" i="41"/>
  <c r="BG33" i="41"/>
  <c r="BF33" i="41"/>
  <c r="BE33" i="41"/>
  <c r="BD33" i="41"/>
  <c r="BC33" i="41"/>
  <c r="BB33" i="41"/>
  <c r="BA33" i="41"/>
  <c r="AZ33" i="41"/>
  <c r="AY33" i="41"/>
  <c r="AX33" i="41"/>
  <c r="AW33" i="41"/>
  <c r="AV33" i="41"/>
  <c r="AU33" i="41"/>
  <c r="AT33" i="41"/>
  <c r="AS33" i="41"/>
  <c r="BG32" i="41"/>
  <c r="BF32" i="41"/>
  <c r="BE32" i="41"/>
  <c r="BD32" i="41"/>
  <c r="BC32" i="41"/>
  <c r="BB32" i="41"/>
  <c r="BA32" i="41"/>
  <c r="AZ32" i="41"/>
  <c r="AY32" i="41"/>
  <c r="AX32" i="41"/>
  <c r="AW32" i="41"/>
  <c r="AV32" i="41"/>
  <c r="AU32" i="41"/>
  <c r="AT32" i="41"/>
  <c r="AS32" i="41"/>
  <c r="BG31" i="41"/>
  <c r="BF31" i="41"/>
  <c r="BE31" i="41"/>
  <c r="BD31" i="41"/>
  <c r="BC31" i="41"/>
  <c r="BB31" i="41"/>
  <c r="BA31" i="41"/>
  <c r="AZ31" i="41"/>
  <c r="AY31" i="41"/>
  <c r="AX31" i="41"/>
  <c r="AW31" i="41"/>
  <c r="AV31" i="41"/>
  <c r="AU31" i="41"/>
  <c r="AT31" i="41"/>
  <c r="AS31" i="41"/>
  <c r="BG30" i="41"/>
  <c r="BF30" i="41"/>
  <c r="BE30" i="41"/>
  <c r="BD30" i="41"/>
  <c r="BC30" i="41"/>
  <c r="BB30" i="41"/>
  <c r="BA30" i="41"/>
  <c r="AZ30" i="41"/>
  <c r="AY30" i="41"/>
  <c r="AX30" i="41"/>
  <c r="AW30" i="41"/>
  <c r="AV30" i="41"/>
  <c r="AU30" i="41"/>
  <c r="AT30" i="41"/>
  <c r="AS30" i="41"/>
  <c r="BG29" i="41"/>
  <c r="BF29" i="41"/>
  <c r="BE29" i="41"/>
  <c r="BD29" i="41"/>
  <c r="BC29" i="41"/>
  <c r="BB29" i="41"/>
  <c r="BA29" i="41"/>
  <c r="AZ29" i="41"/>
  <c r="AY29" i="41"/>
  <c r="AX29" i="41"/>
  <c r="AW29" i="41"/>
  <c r="AV29" i="41"/>
  <c r="AU29" i="41"/>
  <c r="AT29" i="41"/>
  <c r="AS29" i="41"/>
  <c r="BG28" i="41"/>
  <c r="BF28" i="41"/>
  <c r="BE28" i="41"/>
  <c r="BD28" i="41"/>
  <c r="BC28" i="41"/>
  <c r="BB28" i="41"/>
  <c r="BA28" i="41"/>
  <c r="AZ28" i="41"/>
  <c r="AY28" i="41"/>
  <c r="AX28" i="41"/>
  <c r="AW28" i="41"/>
  <c r="AV28" i="41"/>
  <c r="AU28" i="41"/>
  <c r="AT28" i="41"/>
  <c r="AS28" i="41"/>
  <c r="BG27" i="41"/>
  <c r="BF27" i="41"/>
  <c r="BE27" i="41"/>
  <c r="BD27" i="41"/>
  <c r="BC27" i="41"/>
  <c r="BB27" i="41"/>
  <c r="BA27" i="41"/>
  <c r="AZ27" i="41"/>
  <c r="AY27" i="41"/>
  <c r="AX27" i="41"/>
  <c r="AW27" i="41"/>
  <c r="AV27" i="41"/>
  <c r="AU27" i="41"/>
  <c r="AT27" i="41"/>
  <c r="AS27" i="41"/>
  <c r="BG26" i="41"/>
  <c r="BF26" i="41"/>
  <c r="BE26" i="41"/>
  <c r="BD26" i="41"/>
  <c r="BC26" i="41"/>
  <c r="BB26" i="41"/>
  <c r="BA26" i="41"/>
  <c r="AZ26" i="41"/>
  <c r="AY26" i="41"/>
  <c r="AX26" i="41"/>
  <c r="AW26" i="41"/>
  <c r="AV26" i="41"/>
  <c r="AU26" i="41"/>
  <c r="AT26" i="41"/>
  <c r="AS26" i="41"/>
  <c r="H26" i="41"/>
  <c r="E26" i="41"/>
  <c r="C26" i="41"/>
  <c r="BG25" i="41"/>
  <c r="BF25" i="41"/>
  <c r="BE25" i="41"/>
  <c r="BD25" i="41"/>
  <c r="BC25" i="41"/>
  <c r="BB25" i="41"/>
  <c r="BA25" i="41"/>
  <c r="AZ25" i="41"/>
  <c r="AY25" i="41"/>
  <c r="AX25" i="41"/>
  <c r="AW25" i="41"/>
  <c r="AV25" i="41"/>
  <c r="AU25" i="41"/>
  <c r="AT25" i="41"/>
  <c r="AS25" i="41"/>
  <c r="BG24" i="41"/>
  <c r="BF24" i="41"/>
  <c r="BE24" i="41"/>
  <c r="BD24" i="41"/>
  <c r="BC24" i="41"/>
  <c r="BB24" i="41"/>
  <c r="BA24" i="41"/>
  <c r="AZ24" i="41"/>
  <c r="AY24" i="41"/>
  <c r="AX24" i="41"/>
  <c r="AW24" i="41"/>
  <c r="AV24" i="41"/>
  <c r="AU24" i="41"/>
  <c r="AT24" i="41"/>
  <c r="AS24" i="41"/>
  <c r="BG23" i="41"/>
  <c r="BF23" i="41"/>
  <c r="BE23" i="41"/>
  <c r="BD23" i="41"/>
  <c r="BC23" i="41"/>
  <c r="BB23" i="41"/>
  <c r="BA23" i="41"/>
  <c r="AZ23" i="41"/>
  <c r="AY23" i="41"/>
  <c r="AX23" i="41"/>
  <c r="AW23" i="41"/>
  <c r="AV23" i="41"/>
  <c r="AU23" i="41"/>
  <c r="AT23" i="41"/>
  <c r="AS23" i="41"/>
  <c r="G23" i="41"/>
  <c r="E25" i="41" s="1"/>
  <c r="BG22" i="41"/>
  <c r="BF22" i="41"/>
  <c r="BE22" i="41"/>
  <c r="BD22" i="41"/>
  <c r="BC22" i="41"/>
  <c r="BB22" i="41"/>
  <c r="BA22" i="41"/>
  <c r="AZ22" i="41"/>
  <c r="AY22" i="41"/>
  <c r="AX22" i="41"/>
  <c r="AW22" i="41"/>
  <c r="AV22" i="41"/>
  <c r="AU22" i="41"/>
  <c r="AT22" i="41"/>
  <c r="AS22" i="41"/>
  <c r="BG21" i="41"/>
  <c r="BF21" i="41"/>
  <c r="BE21" i="41"/>
  <c r="BD21" i="41"/>
  <c r="BC21" i="41"/>
  <c r="BB21" i="41"/>
  <c r="BA21" i="41"/>
  <c r="AZ21" i="41"/>
  <c r="AY21" i="41"/>
  <c r="AX21" i="41"/>
  <c r="AW21" i="41"/>
  <c r="AV21" i="41"/>
  <c r="AU21" i="41"/>
  <c r="AT21" i="41"/>
  <c r="AS21" i="41"/>
  <c r="AN21" i="41"/>
  <c r="AM21" i="41"/>
  <c r="AL21" i="41"/>
  <c r="AK21" i="41"/>
  <c r="AJ21" i="41"/>
  <c r="AI21" i="41"/>
  <c r="AH21" i="41"/>
  <c r="AG21" i="41"/>
  <c r="AF21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BG20" i="41"/>
  <c r="BF20" i="41"/>
  <c r="BE20" i="41"/>
  <c r="BD20" i="41"/>
  <c r="BC20" i="41"/>
  <c r="BB20" i="41"/>
  <c r="BA20" i="41"/>
  <c r="AZ20" i="41"/>
  <c r="AY20" i="41"/>
  <c r="AX20" i="41"/>
  <c r="AW20" i="41"/>
  <c r="AV20" i="41"/>
  <c r="AU20" i="41"/>
  <c r="AT20" i="41"/>
  <c r="AS20" i="41"/>
  <c r="BG19" i="41"/>
  <c r="BF19" i="41"/>
  <c r="BE19" i="41"/>
  <c r="BD19" i="41"/>
  <c r="BC19" i="41"/>
  <c r="BB19" i="41"/>
  <c r="BA19" i="41"/>
  <c r="AZ19" i="41"/>
  <c r="AY19" i="41"/>
  <c r="AX19" i="41"/>
  <c r="AW19" i="41"/>
  <c r="AV19" i="41"/>
  <c r="AU19" i="41"/>
  <c r="AT19" i="41"/>
  <c r="AS19" i="41"/>
  <c r="BG18" i="41"/>
  <c r="BF18" i="41"/>
  <c r="BE18" i="41"/>
  <c r="BD18" i="41"/>
  <c r="BC18" i="41"/>
  <c r="BB18" i="41"/>
  <c r="BA18" i="41"/>
  <c r="AZ18" i="41"/>
  <c r="AY18" i="41"/>
  <c r="AX18" i="41"/>
  <c r="AW18" i="41"/>
  <c r="AV18" i="41"/>
  <c r="AU18" i="41"/>
  <c r="AT18" i="41"/>
  <c r="AS18" i="41"/>
  <c r="AK18" i="41"/>
  <c r="AH18" i="41"/>
  <c r="AE18" i="41"/>
  <c r="I18" i="41"/>
  <c r="D18" i="41"/>
  <c r="C25" i="41" s="1"/>
  <c r="BG17" i="41"/>
  <c r="BF17" i="41"/>
  <c r="BE17" i="41"/>
  <c r="BD17" i="41"/>
  <c r="BC17" i="41"/>
  <c r="BB17" i="41"/>
  <c r="BA17" i="41"/>
  <c r="AZ17" i="41"/>
  <c r="AY17" i="41"/>
  <c r="AX17" i="41"/>
  <c r="AW17" i="41"/>
  <c r="AV17" i="41"/>
  <c r="AU17" i="41"/>
  <c r="AT17" i="41"/>
  <c r="AS17" i="41"/>
  <c r="BG16" i="41"/>
  <c r="BF16" i="41"/>
  <c r="BE16" i="41"/>
  <c r="BD16" i="41"/>
  <c r="BC16" i="41"/>
  <c r="BB16" i="41"/>
  <c r="BA16" i="41"/>
  <c r="AZ16" i="41"/>
  <c r="AY16" i="41"/>
  <c r="AX16" i="41"/>
  <c r="AW16" i="41"/>
  <c r="AV16" i="41"/>
  <c r="AU16" i="41"/>
  <c r="AT16" i="41"/>
  <c r="AS16" i="41"/>
  <c r="AN16" i="41"/>
  <c r="AM16" i="41"/>
  <c r="AL16" i="41"/>
  <c r="AK16" i="41"/>
  <c r="AJ16" i="41"/>
  <c r="AI16" i="41"/>
  <c r="AH16" i="41"/>
  <c r="AG16" i="41"/>
  <c r="AF16" i="41"/>
  <c r="AE16" i="41"/>
  <c r="AD16" i="41"/>
  <c r="AC16" i="41"/>
  <c r="AB16" i="41"/>
  <c r="AA16" i="41"/>
  <c r="Z16" i="41"/>
  <c r="Y16" i="41"/>
  <c r="X16" i="41"/>
  <c r="W16" i="41"/>
  <c r="V16" i="41"/>
  <c r="U16" i="41"/>
  <c r="T16" i="41"/>
  <c r="S16" i="41"/>
  <c r="R16" i="41"/>
  <c r="Q16" i="41"/>
  <c r="P16" i="41"/>
  <c r="O16" i="41"/>
  <c r="N16" i="41"/>
  <c r="M16" i="41"/>
  <c r="L16" i="41"/>
  <c r="K16" i="41"/>
  <c r="J16" i="41"/>
  <c r="I16" i="41"/>
  <c r="H16" i="41"/>
  <c r="G16" i="41"/>
  <c r="BG15" i="41"/>
  <c r="BF15" i="41"/>
  <c r="BE15" i="41"/>
  <c r="BD15" i="41"/>
  <c r="BC15" i="41"/>
  <c r="BB15" i="41"/>
  <c r="BA15" i="41"/>
  <c r="AZ15" i="41"/>
  <c r="AY15" i="41"/>
  <c r="AX15" i="41"/>
  <c r="AW15" i="41"/>
  <c r="AV15" i="41"/>
  <c r="AU15" i="41"/>
  <c r="AT15" i="41"/>
  <c r="AS15" i="41"/>
  <c r="BG14" i="41"/>
  <c r="BF14" i="41"/>
  <c r="BE14" i="41"/>
  <c r="BD14" i="41"/>
  <c r="BC14" i="41"/>
  <c r="BB14" i="41"/>
  <c r="BA14" i="41"/>
  <c r="AZ14" i="41"/>
  <c r="AY14" i="41"/>
  <c r="AX14" i="41"/>
  <c r="AW14" i="41"/>
  <c r="AV14" i="41"/>
  <c r="AU14" i="41"/>
  <c r="AT14" i="41"/>
  <c r="AS14" i="41"/>
  <c r="AP14" i="41"/>
  <c r="E14" i="41"/>
  <c r="BG13" i="41"/>
  <c r="BF13" i="41"/>
  <c r="BE13" i="41"/>
  <c r="BD13" i="41"/>
  <c r="BC13" i="41"/>
  <c r="BB13" i="41"/>
  <c r="BA13" i="41"/>
  <c r="AZ13" i="41"/>
  <c r="AY13" i="41"/>
  <c r="AX13" i="41"/>
  <c r="AW13" i="41"/>
  <c r="AV13" i="41"/>
  <c r="AU13" i="41"/>
  <c r="AT13" i="41"/>
  <c r="AS13" i="41"/>
  <c r="E13" i="41"/>
  <c r="BG12" i="41"/>
  <c r="BF12" i="41"/>
  <c r="BE12" i="41"/>
  <c r="BD12" i="41"/>
  <c r="BC12" i="41"/>
  <c r="BB12" i="41"/>
  <c r="BA12" i="41"/>
  <c r="AZ12" i="41"/>
  <c r="AY12" i="41"/>
  <c r="AX12" i="41"/>
  <c r="AW12" i="41"/>
  <c r="AV12" i="41"/>
  <c r="AU12" i="41"/>
  <c r="AT12" i="41"/>
  <c r="AS12" i="41"/>
  <c r="E12" i="41"/>
  <c r="BG11" i="41"/>
  <c r="BF11" i="41"/>
  <c r="BE11" i="41"/>
  <c r="BD11" i="41"/>
  <c r="BC11" i="41"/>
  <c r="BB11" i="41"/>
  <c r="BA11" i="41"/>
  <c r="AZ11" i="41"/>
  <c r="AY11" i="41"/>
  <c r="AX11" i="41"/>
  <c r="AW11" i="41"/>
  <c r="AV11" i="41"/>
  <c r="AU11" i="41"/>
  <c r="AT11" i="41"/>
  <c r="AS11" i="41"/>
  <c r="AP11" i="41"/>
  <c r="E11" i="41"/>
  <c r="BG10" i="41"/>
  <c r="BF10" i="41"/>
  <c r="BE10" i="41"/>
  <c r="BD10" i="41"/>
  <c r="BC10" i="41"/>
  <c r="BB10" i="41"/>
  <c r="BA10" i="41"/>
  <c r="AZ10" i="41"/>
  <c r="AY10" i="41"/>
  <c r="AX10" i="41"/>
  <c r="AW10" i="41"/>
  <c r="AV10" i="41"/>
  <c r="AU10" i="41"/>
  <c r="AT10" i="41"/>
  <c r="AS10" i="41"/>
  <c r="E10" i="41"/>
  <c r="BG9" i="41"/>
  <c r="BF9" i="41"/>
  <c r="BE9" i="41"/>
  <c r="BD9" i="41"/>
  <c r="BC9" i="41"/>
  <c r="BB9" i="41"/>
  <c r="BA9" i="41"/>
  <c r="AZ9" i="41"/>
  <c r="AY9" i="41"/>
  <c r="AX9" i="41"/>
  <c r="AW9" i="41"/>
  <c r="AV9" i="41"/>
  <c r="AU9" i="41"/>
  <c r="AT9" i="41"/>
  <c r="AS9" i="41"/>
  <c r="AP9" i="41"/>
  <c r="E9" i="41"/>
  <c r="BG8" i="41"/>
  <c r="BF8" i="41"/>
  <c r="BE8" i="41"/>
  <c r="BD8" i="41"/>
  <c r="BC8" i="41"/>
  <c r="BB8" i="41"/>
  <c r="BA8" i="41"/>
  <c r="AZ8" i="41"/>
  <c r="AY8" i="41"/>
  <c r="AX8" i="41"/>
  <c r="AW8" i="41"/>
  <c r="AV8" i="41"/>
  <c r="AU8" i="41"/>
  <c r="AT8" i="41"/>
  <c r="AS8" i="41"/>
  <c r="E8" i="41"/>
  <c r="BG7" i="41"/>
  <c r="BF7" i="41"/>
  <c r="BE7" i="41"/>
  <c r="BD7" i="41"/>
  <c r="BC7" i="41"/>
  <c r="BB7" i="41"/>
  <c r="BA7" i="41"/>
  <c r="AZ7" i="41"/>
  <c r="AY7" i="41"/>
  <c r="AX7" i="41"/>
  <c r="AW7" i="41"/>
  <c r="AV7" i="41"/>
  <c r="AU7" i="41"/>
  <c r="AT7" i="41"/>
  <c r="AS7" i="41"/>
  <c r="AP7" i="41"/>
  <c r="E7" i="41"/>
  <c r="BG6" i="41"/>
  <c r="BF6" i="41"/>
  <c r="BE6" i="41"/>
  <c r="BD6" i="41"/>
  <c r="BC6" i="41"/>
  <c r="BB6" i="41"/>
  <c r="BA6" i="41"/>
  <c r="AZ6" i="41"/>
  <c r="AY6" i="41"/>
  <c r="AX6" i="41"/>
  <c r="AW6" i="41"/>
  <c r="AV6" i="41"/>
  <c r="AU6" i="41"/>
  <c r="AT6" i="41"/>
  <c r="AS6" i="41"/>
  <c r="E6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E5" i="41"/>
  <c r="BG4" i="41"/>
  <c r="BF4" i="41"/>
  <c r="BE4" i="41"/>
  <c r="BD4" i="41"/>
  <c r="BC4" i="41"/>
  <c r="BB4" i="41"/>
  <c r="BA4" i="41"/>
  <c r="AZ4" i="41"/>
  <c r="AY4" i="41"/>
  <c r="AX4" i="41"/>
  <c r="AW4" i="41"/>
  <c r="AV4" i="41"/>
  <c r="AU4" i="41"/>
  <c r="AT4" i="41"/>
  <c r="AS4" i="41"/>
  <c r="AP4" i="41"/>
  <c r="E4" i="41"/>
  <c r="E18" i="41" s="1"/>
  <c r="BG3" i="41"/>
  <c r="BF3" i="41"/>
  <c r="BE3" i="41"/>
  <c r="BD3" i="41"/>
  <c r="BC3" i="41"/>
  <c r="BB3" i="41"/>
  <c r="BA3" i="41"/>
  <c r="AZ3" i="41"/>
  <c r="AY3" i="41"/>
  <c r="AX3" i="41"/>
  <c r="AW3" i="41"/>
  <c r="AV3" i="41"/>
  <c r="AU3" i="41"/>
  <c r="AT3" i="41"/>
  <c r="AS3" i="41"/>
  <c r="BG2" i="41"/>
  <c r="BF2" i="41"/>
  <c r="BE2" i="41"/>
  <c r="BD2" i="41"/>
  <c r="BC2" i="41"/>
  <c r="BB2" i="41"/>
  <c r="BA2" i="41"/>
  <c r="AZ2" i="41"/>
  <c r="AY2" i="41"/>
  <c r="AX2" i="41"/>
  <c r="AW2" i="41"/>
  <c r="AV2" i="41"/>
  <c r="AU2" i="41"/>
  <c r="AT2" i="41"/>
  <c r="AS2" i="41"/>
  <c r="BG62" i="40"/>
  <c r="BF62" i="40"/>
  <c r="BE62" i="40"/>
  <c r="BD62" i="40"/>
  <c r="BC62" i="40"/>
  <c r="BB62" i="40"/>
  <c r="BA62" i="40"/>
  <c r="AZ62" i="40"/>
  <c r="AY62" i="40"/>
  <c r="AX62" i="40"/>
  <c r="AW62" i="40"/>
  <c r="AV62" i="40"/>
  <c r="AU62" i="40"/>
  <c r="AT62" i="40"/>
  <c r="AS62" i="40"/>
  <c r="BG61" i="40"/>
  <c r="BF61" i="40"/>
  <c r="BE61" i="40"/>
  <c r="BD61" i="40"/>
  <c r="BC61" i="40"/>
  <c r="BB61" i="40"/>
  <c r="BA61" i="40"/>
  <c r="AZ61" i="40"/>
  <c r="AY61" i="40"/>
  <c r="AX61" i="40"/>
  <c r="AW61" i="40"/>
  <c r="AV61" i="40"/>
  <c r="AU61" i="40"/>
  <c r="AT61" i="40"/>
  <c r="AS61" i="40"/>
  <c r="BG60" i="40"/>
  <c r="BF60" i="40"/>
  <c r="BE60" i="40"/>
  <c r="BD60" i="40"/>
  <c r="BC60" i="40"/>
  <c r="BB60" i="40"/>
  <c r="BA60" i="40"/>
  <c r="AZ60" i="40"/>
  <c r="AY60" i="40"/>
  <c r="AX60" i="40"/>
  <c r="AW60" i="40"/>
  <c r="AV60" i="40"/>
  <c r="AU60" i="40"/>
  <c r="AT60" i="40"/>
  <c r="AS60" i="40"/>
  <c r="BG59" i="40"/>
  <c r="BF59" i="40"/>
  <c r="BE59" i="40"/>
  <c r="BD59" i="40"/>
  <c r="BC59" i="40"/>
  <c r="BB59" i="40"/>
  <c r="BA59" i="40"/>
  <c r="AZ59" i="40"/>
  <c r="AY59" i="40"/>
  <c r="AX59" i="40"/>
  <c r="AW59" i="40"/>
  <c r="AV59" i="40"/>
  <c r="AU59" i="40"/>
  <c r="AT59" i="40"/>
  <c r="AS59" i="40"/>
  <c r="BG58" i="40"/>
  <c r="BF58" i="40"/>
  <c r="BE58" i="40"/>
  <c r="BD58" i="40"/>
  <c r="BC58" i="40"/>
  <c r="BB58" i="40"/>
  <c r="BA58" i="40"/>
  <c r="AZ58" i="40"/>
  <c r="AY58" i="40"/>
  <c r="AX58" i="40"/>
  <c r="AW58" i="40"/>
  <c r="AV58" i="40"/>
  <c r="AU58" i="40"/>
  <c r="AT58" i="40"/>
  <c r="AS58" i="40"/>
  <c r="BG57" i="40"/>
  <c r="BF57" i="40"/>
  <c r="BE57" i="40"/>
  <c r="BD57" i="40"/>
  <c r="BC57" i="40"/>
  <c r="BB57" i="40"/>
  <c r="BA57" i="40"/>
  <c r="AZ57" i="40"/>
  <c r="AY57" i="40"/>
  <c r="AX57" i="40"/>
  <c r="AW57" i="40"/>
  <c r="AV57" i="40"/>
  <c r="AU57" i="40"/>
  <c r="AT57" i="40"/>
  <c r="AS57" i="40"/>
  <c r="BG56" i="40"/>
  <c r="BF56" i="40"/>
  <c r="BE56" i="40"/>
  <c r="BD56" i="40"/>
  <c r="BC56" i="40"/>
  <c r="BB56" i="40"/>
  <c r="BA56" i="40"/>
  <c r="AZ56" i="40"/>
  <c r="AY56" i="40"/>
  <c r="AX56" i="40"/>
  <c r="AW56" i="40"/>
  <c r="AV56" i="40"/>
  <c r="AU56" i="40"/>
  <c r="AT56" i="40"/>
  <c r="AS56" i="40"/>
  <c r="BG55" i="40"/>
  <c r="BF55" i="40"/>
  <c r="BE55" i="40"/>
  <c r="BD55" i="40"/>
  <c r="BC55" i="40"/>
  <c r="BB55" i="40"/>
  <c r="BA55" i="40"/>
  <c r="AZ55" i="40"/>
  <c r="AY55" i="40"/>
  <c r="AX55" i="40"/>
  <c r="AW55" i="40"/>
  <c r="AV55" i="40"/>
  <c r="AU55" i="40"/>
  <c r="AT55" i="40"/>
  <c r="AS55" i="40"/>
  <c r="BG54" i="40"/>
  <c r="BF54" i="40"/>
  <c r="BE54" i="40"/>
  <c r="BD54" i="40"/>
  <c r="BC54" i="40"/>
  <c r="BB54" i="40"/>
  <c r="BA54" i="40"/>
  <c r="AZ54" i="40"/>
  <c r="AY54" i="40"/>
  <c r="AX54" i="40"/>
  <c r="AW54" i="40"/>
  <c r="AV54" i="40"/>
  <c r="AU54" i="40"/>
  <c r="AT54" i="40"/>
  <c r="AS54" i="40"/>
  <c r="BG53" i="40"/>
  <c r="BF53" i="40"/>
  <c r="BE53" i="40"/>
  <c r="BD53" i="40"/>
  <c r="BC53" i="40"/>
  <c r="BB53" i="40"/>
  <c r="BA53" i="40"/>
  <c r="AZ53" i="40"/>
  <c r="AY53" i="40"/>
  <c r="AX53" i="40"/>
  <c r="AW53" i="40"/>
  <c r="AV53" i="40"/>
  <c r="AU53" i="40"/>
  <c r="AT53" i="40"/>
  <c r="AS53" i="40"/>
  <c r="BG52" i="40"/>
  <c r="BF52" i="40"/>
  <c r="BE52" i="40"/>
  <c r="BD52" i="40"/>
  <c r="BC52" i="40"/>
  <c r="BB52" i="40"/>
  <c r="BA52" i="40"/>
  <c r="AZ52" i="40"/>
  <c r="AY52" i="40"/>
  <c r="AX52" i="40"/>
  <c r="AW52" i="40"/>
  <c r="AV52" i="40"/>
  <c r="AU52" i="40"/>
  <c r="AT52" i="40"/>
  <c r="AS52" i="40"/>
  <c r="BG51" i="40"/>
  <c r="BF51" i="40"/>
  <c r="BE51" i="40"/>
  <c r="BD51" i="40"/>
  <c r="BC51" i="40"/>
  <c r="BB51" i="40"/>
  <c r="BA51" i="40"/>
  <c r="AZ51" i="40"/>
  <c r="AY51" i="40"/>
  <c r="AX51" i="40"/>
  <c r="AW51" i="40"/>
  <c r="AV51" i="40"/>
  <c r="AU51" i="40"/>
  <c r="AT51" i="40"/>
  <c r="AS51" i="40"/>
  <c r="BG50" i="40"/>
  <c r="BF50" i="40"/>
  <c r="BE50" i="40"/>
  <c r="BD50" i="40"/>
  <c r="BC50" i="40"/>
  <c r="BB50" i="40"/>
  <c r="BA50" i="40"/>
  <c r="AZ50" i="40"/>
  <c r="AY50" i="40"/>
  <c r="AX50" i="40"/>
  <c r="AW50" i="40"/>
  <c r="AV50" i="40"/>
  <c r="AU50" i="40"/>
  <c r="AT50" i="40"/>
  <c r="AS50" i="40"/>
  <c r="BG49" i="40"/>
  <c r="BF49" i="40"/>
  <c r="BE49" i="40"/>
  <c r="BD49" i="40"/>
  <c r="BC49" i="40"/>
  <c r="BB49" i="40"/>
  <c r="BA49" i="40"/>
  <c r="AZ49" i="40"/>
  <c r="AY49" i="40"/>
  <c r="AX49" i="40"/>
  <c r="AW49" i="40"/>
  <c r="AV49" i="40"/>
  <c r="AU49" i="40"/>
  <c r="AT49" i="40"/>
  <c r="AS49" i="40"/>
  <c r="BG48" i="40"/>
  <c r="BF48" i="40"/>
  <c r="BE48" i="40"/>
  <c r="BD48" i="40"/>
  <c r="BC48" i="40"/>
  <c r="BB48" i="40"/>
  <c r="BA48" i="40"/>
  <c r="AZ48" i="40"/>
  <c r="AY48" i="40"/>
  <c r="AX48" i="40"/>
  <c r="AW48" i="40"/>
  <c r="AV48" i="40"/>
  <c r="AU48" i="40"/>
  <c r="AT48" i="40"/>
  <c r="AS48" i="40"/>
  <c r="BG47" i="40"/>
  <c r="BF47" i="40"/>
  <c r="BE47" i="40"/>
  <c r="BD47" i="40"/>
  <c r="BC47" i="40"/>
  <c r="BB47" i="40"/>
  <c r="BA47" i="40"/>
  <c r="AZ47" i="40"/>
  <c r="AY47" i="40"/>
  <c r="AX47" i="40"/>
  <c r="AW47" i="40"/>
  <c r="AV47" i="40"/>
  <c r="AU47" i="40"/>
  <c r="AT47" i="40"/>
  <c r="AS47" i="40"/>
  <c r="BG46" i="40"/>
  <c r="BF46" i="40"/>
  <c r="BE46" i="40"/>
  <c r="BD46" i="40"/>
  <c r="BC46" i="40"/>
  <c r="BB46" i="40"/>
  <c r="BA46" i="40"/>
  <c r="AZ46" i="40"/>
  <c r="AY46" i="40"/>
  <c r="AX46" i="40"/>
  <c r="AW46" i="40"/>
  <c r="AV46" i="40"/>
  <c r="AU46" i="40"/>
  <c r="AT46" i="40"/>
  <c r="AS46" i="40"/>
  <c r="BG45" i="40"/>
  <c r="BF45" i="40"/>
  <c r="BE45" i="40"/>
  <c r="BD45" i="40"/>
  <c r="BC45" i="40"/>
  <c r="BB45" i="40"/>
  <c r="BA45" i="40"/>
  <c r="AZ45" i="40"/>
  <c r="AY45" i="40"/>
  <c r="AX45" i="40"/>
  <c r="AW45" i="40"/>
  <c r="AV45" i="40"/>
  <c r="AU45" i="40"/>
  <c r="AT45" i="40"/>
  <c r="AS45" i="40"/>
  <c r="BG44" i="40"/>
  <c r="BF44" i="40"/>
  <c r="BE44" i="40"/>
  <c r="BD44" i="40"/>
  <c r="BC44" i="40"/>
  <c r="BB44" i="40"/>
  <c r="BA44" i="40"/>
  <c r="AZ44" i="40"/>
  <c r="AY44" i="40"/>
  <c r="AX44" i="40"/>
  <c r="AW44" i="40"/>
  <c r="AV44" i="40"/>
  <c r="AU44" i="40"/>
  <c r="AT44" i="40"/>
  <c r="AS44" i="40"/>
  <c r="BG43" i="40"/>
  <c r="BF43" i="40"/>
  <c r="BE43" i="40"/>
  <c r="BD43" i="40"/>
  <c r="BC43" i="40"/>
  <c r="BB43" i="40"/>
  <c r="BA43" i="40"/>
  <c r="AZ43" i="40"/>
  <c r="AY43" i="40"/>
  <c r="AX43" i="40"/>
  <c r="AW43" i="40"/>
  <c r="AV43" i="40"/>
  <c r="AU43" i="40"/>
  <c r="AT43" i="40"/>
  <c r="AS43" i="40"/>
  <c r="BG42" i="40"/>
  <c r="BF42" i="40"/>
  <c r="BE42" i="40"/>
  <c r="BD42" i="40"/>
  <c r="BC42" i="40"/>
  <c r="BB42" i="40"/>
  <c r="BA42" i="40"/>
  <c r="AZ42" i="40"/>
  <c r="AY42" i="40"/>
  <c r="AX42" i="40"/>
  <c r="AW42" i="40"/>
  <c r="AV42" i="40"/>
  <c r="AU42" i="40"/>
  <c r="AT42" i="40"/>
  <c r="AS42" i="40"/>
  <c r="BG41" i="40"/>
  <c r="BF41" i="40"/>
  <c r="BE41" i="40"/>
  <c r="BD41" i="40"/>
  <c r="BC41" i="40"/>
  <c r="BB41" i="40"/>
  <c r="BA41" i="40"/>
  <c r="AZ41" i="40"/>
  <c r="AY41" i="40"/>
  <c r="AX41" i="40"/>
  <c r="AW41" i="40"/>
  <c r="AV41" i="40"/>
  <c r="AU41" i="40"/>
  <c r="AT41" i="40"/>
  <c r="AS41" i="40"/>
  <c r="BG40" i="40"/>
  <c r="BF40" i="40"/>
  <c r="BE40" i="40"/>
  <c r="BD40" i="40"/>
  <c r="BC40" i="40"/>
  <c r="BB40" i="40"/>
  <c r="BA40" i="40"/>
  <c r="AZ40" i="40"/>
  <c r="AY40" i="40"/>
  <c r="AX40" i="40"/>
  <c r="AW40" i="40"/>
  <c r="AV40" i="40"/>
  <c r="AU40" i="40"/>
  <c r="AT40" i="40"/>
  <c r="AS40" i="40"/>
  <c r="BG39" i="40"/>
  <c r="BF39" i="40"/>
  <c r="BE39" i="40"/>
  <c r="BD39" i="40"/>
  <c r="BC39" i="40"/>
  <c r="BB39" i="40"/>
  <c r="BA39" i="40"/>
  <c r="AZ39" i="40"/>
  <c r="AY39" i="40"/>
  <c r="AX39" i="40"/>
  <c r="AW39" i="40"/>
  <c r="AV39" i="40"/>
  <c r="AU39" i="40"/>
  <c r="AT39" i="40"/>
  <c r="AS39" i="40"/>
  <c r="BG38" i="40"/>
  <c r="BF38" i="40"/>
  <c r="BE38" i="40"/>
  <c r="BD38" i="40"/>
  <c r="BC38" i="40"/>
  <c r="BB38" i="40"/>
  <c r="BA38" i="40"/>
  <c r="AZ38" i="40"/>
  <c r="AY38" i="40"/>
  <c r="AX38" i="40"/>
  <c r="AW38" i="40"/>
  <c r="AV38" i="40"/>
  <c r="AU38" i="40"/>
  <c r="AT38" i="40"/>
  <c r="AS38" i="40"/>
  <c r="BG37" i="40"/>
  <c r="BF37" i="40"/>
  <c r="BE37" i="40"/>
  <c r="BD37" i="40"/>
  <c r="BC37" i="40"/>
  <c r="BB37" i="40"/>
  <c r="BA37" i="40"/>
  <c r="AZ37" i="40"/>
  <c r="AY37" i="40"/>
  <c r="AX37" i="40"/>
  <c r="AW37" i="40"/>
  <c r="AV37" i="40"/>
  <c r="AU37" i="40"/>
  <c r="AT37" i="40"/>
  <c r="AS37" i="40"/>
  <c r="BG36" i="40"/>
  <c r="BF36" i="40"/>
  <c r="BE36" i="40"/>
  <c r="BD36" i="40"/>
  <c r="BC36" i="40"/>
  <c r="BB36" i="40"/>
  <c r="BA36" i="40"/>
  <c r="AZ36" i="40"/>
  <c r="AY36" i="40"/>
  <c r="AX36" i="40"/>
  <c r="AW36" i="40"/>
  <c r="AV36" i="40"/>
  <c r="AU36" i="40"/>
  <c r="AT36" i="40"/>
  <c r="AS36" i="40"/>
  <c r="BG35" i="40"/>
  <c r="BF35" i="40"/>
  <c r="BE35" i="40"/>
  <c r="BD35" i="40"/>
  <c r="BC35" i="40"/>
  <c r="BB35" i="40"/>
  <c r="BA35" i="40"/>
  <c r="AZ35" i="40"/>
  <c r="AY35" i="40"/>
  <c r="AX35" i="40"/>
  <c r="AW35" i="40"/>
  <c r="AV35" i="40"/>
  <c r="AU35" i="40"/>
  <c r="AT35" i="40"/>
  <c r="AS35" i="40"/>
  <c r="BG34" i="40"/>
  <c r="BF34" i="40"/>
  <c r="BE34" i="40"/>
  <c r="BD34" i="40"/>
  <c r="BC34" i="40"/>
  <c r="BB34" i="40"/>
  <c r="BA34" i="40"/>
  <c r="AZ34" i="40"/>
  <c r="AY34" i="40"/>
  <c r="AX34" i="40"/>
  <c r="AW34" i="40"/>
  <c r="AV34" i="40"/>
  <c r="AU34" i="40"/>
  <c r="AT34" i="40"/>
  <c r="AS34" i="40"/>
  <c r="BG33" i="40"/>
  <c r="BF33" i="40"/>
  <c r="BE33" i="40"/>
  <c r="BD33" i="40"/>
  <c r="BC33" i="40"/>
  <c r="BB33" i="40"/>
  <c r="BA33" i="40"/>
  <c r="AZ33" i="40"/>
  <c r="AY33" i="40"/>
  <c r="AX33" i="40"/>
  <c r="AW33" i="40"/>
  <c r="AV33" i="40"/>
  <c r="AU33" i="40"/>
  <c r="AT33" i="40"/>
  <c r="AS33" i="40"/>
  <c r="BG32" i="40"/>
  <c r="BF32" i="40"/>
  <c r="BE32" i="40"/>
  <c r="BD32" i="40"/>
  <c r="BC32" i="40"/>
  <c r="BB32" i="40"/>
  <c r="BA32" i="40"/>
  <c r="AZ32" i="40"/>
  <c r="AY32" i="40"/>
  <c r="AX32" i="40"/>
  <c r="AW32" i="40"/>
  <c r="AV32" i="40"/>
  <c r="AU32" i="40"/>
  <c r="AT32" i="40"/>
  <c r="AS32" i="40"/>
  <c r="BG31" i="40"/>
  <c r="BF31" i="40"/>
  <c r="BE31" i="40"/>
  <c r="BD31" i="40"/>
  <c r="BC31" i="40"/>
  <c r="BB31" i="40"/>
  <c r="BA31" i="40"/>
  <c r="AZ31" i="40"/>
  <c r="AY31" i="40"/>
  <c r="AX31" i="40"/>
  <c r="AW31" i="40"/>
  <c r="AV31" i="40"/>
  <c r="AU31" i="40"/>
  <c r="AT31" i="40"/>
  <c r="AS31" i="40"/>
  <c r="BG30" i="40"/>
  <c r="BF30" i="40"/>
  <c r="BE30" i="40"/>
  <c r="BD30" i="40"/>
  <c r="BC30" i="40"/>
  <c r="BB30" i="40"/>
  <c r="BA30" i="40"/>
  <c r="AZ30" i="40"/>
  <c r="AY30" i="40"/>
  <c r="AX30" i="40"/>
  <c r="AW30" i="40"/>
  <c r="AV30" i="40"/>
  <c r="AU30" i="40"/>
  <c r="AT30" i="40"/>
  <c r="AS30" i="40"/>
  <c r="BG29" i="40"/>
  <c r="BF29" i="40"/>
  <c r="BE29" i="40"/>
  <c r="BD29" i="40"/>
  <c r="BC29" i="40"/>
  <c r="BB29" i="40"/>
  <c r="BA29" i="40"/>
  <c r="AZ29" i="40"/>
  <c r="AY29" i="40"/>
  <c r="AX29" i="40"/>
  <c r="AW29" i="40"/>
  <c r="AV29" i="40"/>
  <c r="AU29" i="40"/>
  <c r="AT29" i="40"/>
  <c r="AS29" i="40"/>
  <c r="BG28" i="40"/>
  <c r="BF28" i="40"/>
  <c r="BE28" i="40"/>
  <c r="BD28" i="40"/>
  <c r="BC28" i="40"/>
  <c r="BB28" i="40"/>
  <c r="BA28" i="40"/>
  <c r="AZ28" i="40"/>
  <c r="AY28" i="40"/>
  <c r="AX28" i="40"/>
  <c r="AW28" i="40"/>
  <c r="AV28" i="40"/>
  <c r="AU28" i="40"/>
  <c r="AT28" i="40"/>
  <c r="AS28" i="40"/>
  <c r="BG27" i="40"/>
  <c r="BF27" i="40"/>
  <c r="BE27" i="40"/>
  <c r="BD27" i="40"/>
  <c r="BC27" i="40"/>
  <c r="BB27" i="40"/>
  <c r="BA27" i="40"/>
  <c r="AZ27" i="40"/>
  <c r="AY27" i="40"/>
  <c r="AX27" i="40"/>
  <c r="AW27" i="40"/>
  <c r="AV27" i="40"/>
  <c r="AU27" i="40"/>
  <c r="AT27" i="40"/>
  <c r="AS27" i="40"/>
  <c r="BG26" i="40"/>
  <c r="BF26" i="40"/>
  <c r="BE26" i="40"/>
  <c r="BD26" i="40"/>
  <c r="BC26" i="40"/>
  <c r="BB26" i="40"/>
  <c r="BA26" i="40"/>
  <c r="AZ26" i="40"/>
  <c r="AY26" i="40"/>
  <c r="AX26" i="40"/>
  <c r="AW26" i="40"/>
  <c r="AV26" i="40"/>
  <c r="AU26" i="40"/>
  <c r="AT26" i="40"/>
  <c r="AS26" i="40"/>
  <c r="H26" i="40"/>
  <c r="E26" i="40"/>
  <c r="C26" i="40"/>
  <c r="BG25" i="40"/>
  <c r="BF25" i="40"/>
  <c r="BE25" i="40"/>
  <c r="BD25" i="40"/>
  <c r="BC25" i="40"/>
  <c r="BB25" i="40"/>
  <c r="BA25" i="40"/>
  <c r="AZ25" i="40"/>
  <c r="AY25" i="40"/>
  <c r="AX25" i="40"/>
  <c r="AW25" i="40"/>
  <c r="AV25" i="40"/>
  <c r="AU25" i="40"/>
  <c r="AT25" i="40"/>
  <c r="AS25" i="40"/>
  <c r="E25" i="40"/>
  <c r="BG24" i="40"/>
  <c r="BF24" i="40"/>
  <c r="BE24" i="40"/>
  <c r="BD24" i="40"/>
  <c r="BC24" i="40"/>
  <c r="BB24" i="40"/>
  <c r="BA24" i="40"/>
  <c r="AZ24" i="40"/>
  <c r="AY24" i="40"/>
  <c r="AX24" i="40"/>
  <c r="AW24" i="40"/>
  <c r="AV24" i="40"/>
  <c r="AU24" i="40"/>
  <c r="AT24" i="40"/>
  <c r="AS24" i="40"/>
  <c r="BG23" i="40"/>
  <c r="BF23" i="40"/>
  <c r="BE23" i="40"/>
  <c r="BD23" i="40"/>
  <c r="BC23" i="40"/>
  <c r="BB23" i="40"/>
  <c r="BA23" i="40"/>
  <c r="AZ23" i="40"/>
  <c r="AY23" i="40"/>
  <c r="AX23" i="40"/>
  <c r="AW23" i="40"/>
  <c r="AV23" i="40"/>
  <c r="AU23" i="40"/>
  <c r="AT23" i="40"/>
  <c r="AS23" i="40"/>
  <c r="G23" i="40"/>
  <c r="G24" i="40" s="1"/>
  <c r="BG22" i="40"/>
  <c r="BF22" i="40"/>
  <c r="BE22" i="40"/>
  <c r="BD22" i="40"/>
  <c r="BC22" i="40"/>
  <c r="BB22" i="40"/>
  <c r="BA22" i="40"/>
  <c r="AZ22" i="40"/>
  <c r="AY22" i="40"/>
  <c r="AX22" i="40"/>
  <c r="AW22" i="40"/>
  <c r="AV22" i="40"/>
  <c r="AU22" i="40"/>
  <c r="AT22" i="40"/>
  <c r="AS22" i="40"/>
  <c r="BG21" i="40"/>
  <c r="BF21" i="40"/>
  <c r="BE21" i="40"/>
  <c r="BD21" i="40"/>
  <c r="BC21" i="40"/>
  <c r="BB21" i="40"/>
  <c r="BA21" i="40"/>
  <c r="AZ21" i="40"/>
  <c r="AY21" i="40"/>
  <c r="AX21" i="40"/>
  <c r="AW21" i="40"/>
  <c r="AV21" i="40"/>
  <c r="AU21" i="40"/>
  <c r="AT21" i="40"/>
  <c r="AS21" i="40"/>
  <c r="AN21" i="40"/>
  <c r="AM21" i="40"/>
  <c r="AL21" i="40"/>
  <c r="AK21" i="40"/>
  <c r="AJ21" i="40"/>
  <c r="AI21" i="40"/>
  <c r="AH21" i="40"/>
  <c r="AG21" i="40"/>
  <c r="AF21" i="40"/>
  <c r="AE21" i="40"/>
  <c r="AD21" i="40"/>
  <c r="AC21" i="40"/>
  <c r="AB21" i="40"/>
  <c r="AA21" i="40"/>
  <c r="Z21" i="40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H21" i="40"/>
  <c r="G21" i="40"/>
  <c r="BG20" i="40"/>
  <c r="BF20" i="40"/>
  <c r="BE20" i="40"/>
  <c r="BD20" i="40"/>
  <c r="BC20" i="40"/>
  <c r="BB20" i="40"/>
  <c r="BA20" i="40"/>
  <c r="AZ20" i="40"/>
  <c r="AY20" i="40"/>
  <c r="AX20" i="40"/>
  <c r="AW20" i="40"/>
  <c r="AV20" i="40"/>
  <c r="AU20" i="40"/>
  <c r="AT20" i="40"/>
  <c r="AS20" i="40"/>
  <c r="BG19" i="40"/>
  <c r="BF19" i="40"/>
  <c r="BE19" i="40"/>
  <c r="BD19" i="40"/>
  <c r="BC19" i="40"/>
  <c r="BB19" i="40"/>
  <c r="BA19" i="40"/>
  <c r="AZ19" i="40"/>
  <c r="AY19" i="40"/>
  <c r="AX19" i="40"/>
  <c r="AW19" i="40"/>
  <c r="AV19" i="40"/>
  <c r="AU19" i="40"/>
  <c r="AT19" i="40"/>
  <c r="AS19" i="40"/>
  <c r="BG18" i="40"/>
  <c r="BF18" i="40"/>
  <c r="BE18" i="40"/>
  <c r="BD18" i="40"/>
  <c r="BC18" i="40"/>
  <c r="BB18" i="40"/>
  <c r="BA18" i="40"/>
  <c r="AZ18" i="40"/>
  <c r="AY18" i="40"/>
  <c r="AX18" i="40"/>
  <c r="AW18" i="40"/>
  <c r="AV18" i="40"/>
  <c r="AU18" i="40"/>
  <c r="AT18" i="40"/>
  <c r="AS18" i="40"/>
  <c r="AK18" i="40"/>
  <c r="AH18" i="40"/>
  <c r="AE18" i="40"/>
  <c r="I18" i="40"/>
  <c r="D18" i="40"/>
  <c r="C25" i="40" s="1"/>
  <c r="BG17" i="40"/>
  <c r="BF17" i="40"/>
  <c r="BE17" i="40"/>
  <c r="BD17" i="40"/>
  <c r="BC17" i="40"/>
  <c r="BB17" i="40"/>
  <c r="BA17" i="40"/>
  <c r="AZ17" i="40"/>
  <c r="AY17" i="40"/>
  <c r="AX17" i="40"/>
  <c r="AW17" i="40"/>
  <c r="AV17" i="40"/>
  <c r="AU17" i="40"/>
  <c r="AT17" i="40"/>
  <c r="AS17" i="40"/>
  <c r="BG16" i="40"/>
  <c r="BF16" i="40"/>
  <c r="BE16" i="40"/>
  <c r="BD16" i="40"/>
  <c r="BC16" i="40"/>
  <c r="BB16" i="40"/>
  <c r="BA16" i="40"/>
  <c r="AZ16" i="40"/>
  <c r="AY16" i="40"/>
  <c r="AX16" i="40"/>
  <c r="AW16" i="40"/>
  <c r="AV16" i="40"/>
  <c r="AU16" i="40"/>
  <c r="AT16" i="40"/>
  <c r="AS16" i="40"/>
  <c r="AN16" i="40"/>
  <c r="AM16" i="40"/>
  <c r="AL16" i="40"/>
  <c r="AK16" i="40"/>
  <c r="AJ16" i="40"/>
  <c r="AI16" i="40"/>
  <c r="AH16" i="40"/>
  <c r="AG16" i="40"/>
  <c r="AF16" i="40"/>
  <c r="AE16" i="40"/>
  <c r="AD16" i="40"/>
  <c r="AC16" i="40"/>
  <c r="AB16" i="40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BG15" i="40"/>
  <c r="BF15" i="40"/>
  <c r="BE15" i="40"/>
  <c r="BD15" i="40"/>
  <c r="BC15" i="40"/>
  <c r="BB15" i="40"/>
  <c r="BA15" i="40"/>
  <c r="AZ15" i="40"/>
  <c r="AY15" i="40"/>
  <c r="AX15" i="40"/>
  <c r="AW15" i="40"/>
  <c r="AV15" i="40"/>
  <c r="AU15" i="40"/>
  <c r="AT15" i="40"/>
  <c r="AS15" i="40"/>
  <c r="BG14" i="40"/>
  <c r="BF14" i="40"/>
  <c r="BE14" i="40"/>
  <c r="BD14" i="40"/>
  <c r="BC14" i="40"/>
  <c r="BB14" i="40"/>
  <c r="BA14" i="40"/>
  <c r="AZ14" i="40"/>
  <c r="AY14" i="40"/>
  <c r="AX14" i="40"/>
  <c r="AW14" i="40"/>
  <c r="AV14" i="40"/>
  <c r="AU14" i="40"/>
  <c r="AT14" i="40"/>
  <c r="AS14" i="40"/>
  <c r="AP14" i="40"/>
  <c r="E14" i="40"/>
  <c r="BG13" i="40"/>
  <c r="BF13" i="40"/>
  <c r="BE13" i="40"/>
  <c r="BD13" i="40"/>
  <c r="BC13" i="40"/>
  <c r="BB13" i="40"/>
  <c r="BA13" i="40"/>
  <c r="AZ13" i="40"/>
  <c r="AY13" i="40"/>
  <c r="AX13" i="40"/>
  <c r="AW13" i="40"/>
  <c r="AV13" i="40"/>
  <c r="AU13" i="40"/>
  <c r="AT13" i="40"/>
  <c r="AS13" i="40"/>
  <c r="E13" i="40"/>
  <c r="BG12" i="40"/>
  <c r="BF12" i="40"/>
  <c r="BE12" i="40"/>
  <c r="BD12" i="40"/>
  <c r="BC12" i="40"/>
  <c r="BB12" i="40"/>
  <c r="BA12" i="40"/>
  <c r="AZ12" i="40"/>
  <c r="AY12" i="40"/>
  <c r="AX12" i="40"/>
  <c r="AW12" i="40"/>
  <c r="AV12" i="40"/>
  <c r="AU12" i="40"/>
  <c r="AT12" i="40"/>
  <c r="AS12" i="40"/>
  <c r="E12" i="40"/>
  <c r="BG11" i="40"/>
  <c r="BF11" i="40"/>
  <c r="BE11" i="40"/>
  <c r="BD11" i="40"/>
  <c r="BC11" i="40"/>
  <c r="BB11" i="40"/>
  <c r="BA11" i="40"/>
  <c r="AZ11" i="40"/>
  <c r="AY11" i="40"/>
  <c r="AX11" i="40"/>
  <c r="AW11" i="40"/>
  <c r="AV11" i="40"/>
  <c r="AU11" i="40"/>
  <c r="AT11" i="40"/>
  <c r="AS11" i="40"/>
  <c r="AP11" i="40"/>
  <c r="E11" i="40"/>
  <c r="BG10" i="40"/>
  <c r="BF10" i="40"/>
  <c r="BE10" i="40"/>
  <c r="BD10" i="40"/>
  <c r="BC10" i="40"/>
  <c r="BB10" i="40"/>
  <c r="BA10" i="40"/>
  <c r="AZ10" i="40"/>
  <c r="AY10" i="40"/>
  <c r="AX10" i="40"/>
  <c r="AW10" i="40"/>
  <c r="AV10" i="40"/>
  <c r="AU10" i="40"/>
  <c r="AT10" i="40"/>
  <c r="AS10" i="40"/>
  <c r="E10" i="40"/>
  <c r="BG9" i="40"/>
  <c r="BF9" i="40"/>
  <c r="BE9" i="40"/>
  <c r="BD9" i="40"/>
  <c r="BC9" i="40"/>
  <c r="BB9" i="40"/>
  <c r="BA9" i="40"/>
  <c r="AZ9" i="40"/>
  <c r="AY9" i="40"/>
  <c r="AX9" i="40"/>
  <c r="AW9" i="40"/>
  <c r="AV9" i="40"/>
  <c r="AU9" i="40"/>
  <c r="AT9" i="40"/>
  <c r="AS9" i="40"/>
  <c r="AP9" i="40"/>
  <c r="E9" i="40"/>
  <c r="BG8" i="40"/>
  <c r="BF8" i="40"/>
  <c r="BE8" i="40"/>
  <c r="BD8" i="40"/>
  <c r="BC8" i="40"/>
  <c r="BB8" i="40"/>
  <c r="BA8" i="40"/>
  <c r="AZ8" i="40"/>
  <c r="AY8" i="40"/>
  <c r="AX8" i="40"/>
  <c r="AW8" i="40"/>
  <c r="AV8" i="40"/>
  <c r="AU8" i="40"/>
  <c r="AT8" i="40"/>
  <c r="AS8" i="40"/>
  <c r="E8" i="40"/>
  <c r="BG7" i="40"/>
  <c r="BF7" i="40"/>
  <c r="BE7" i="40"/>
  <c r="BD7" i="40"/>
  <c r="BC7" i="40"/>
  <c r="BB7" i="40"/>
  <c r="BA7" i="40"/>
  <c r="AZ7" i="40"/>
  <c r="AY7" i="40"/>
  <c r="AX7" i="40"/>
  <c r="AW7" i="40"/>
  <c r="AV7" i="40"/>
  <c r="AU7" i="40"/>
  <c r="AT7" i="40"/>
  <c r="AS7" i="40"/>
  <c r="AP7" i="40"/>
  <c r="E7" i="40"/>
  <c r="BG6" i="40"/>
  <c r="BF6" i="40"/>
  <c r="BE6" i="40"/>
  <c r="BD6" i="40"/>
  <c r="BC6" i="40"/>
  <c r="BB6" i="40"/>
  <c r="BA6" i="40"/>
  <c r="AZ6" i="40"/>
  <c r="AY6" i="40"/>
  <c r="AX6" i="40"/>
  <c r="AW6" i="40"/>
  <c r="AV6" i="40"/>
  <c r="AU6" i="40"/>
  <c r="AT6" i="40"/>
  <c r="AS6" i="40"/>
  <c r="E6" i="40"/>
  <c r="BG5" i="40"/>
  <c r="BF5" i="40"/>
  <c r="BE5" i="40"/>
  <c r="BD5" i="40"/>
  <c r="BC5" i="40"/>
  <c r="BB5" i="40"/>
  <c r="BA5" i="40"/>
  <c r="AZ5" i="40"/>
  <c r="AY5" i="40"/>
  <c r="AX5" i="40"/>
  <c r="AW5" i="40"/>
  <c r="AV5" i="40"/>
  <c r="AU5" i="40"/>
  <c r="AT5" i="40"/>
  <c r="AS5" i="40"/>
  <c r="E5" i="40"/>
  <c r="BG4" i="40"/>
  <c r="BF4" i="40"/>
  <c r="BE4" i="40"/>
  <c r="BD4" i="40"/>
  <c r="BC4" i="40"/>
  <c r="BB4" i="40"/>
  <c r="BA4" i="40"/>
  <c r="AZ4" i="40"/>
  <c r="AY4" i="40"/>
  <c r="AX4" i="40"/>
  <c r="AW4" i="40"/>
  <c r="AV4" i="40"/>
  <c r="AU4" i="40"/>
  <c r="AT4" i="40"/>
  <c r="AS4" i="40"/>
  <c r="AP4" i="40"/>
  <c r="E4" i="40"/>
  <c r="E18" i="40" s="1"/>
  <c r="BG3" i="40"/>
  <c r="BF3" i="40"/>
  <c r="BE3" i="40"/>
  <c r="BD3" i="40"/>
  <c r="BC3" i="40"/>
  <c r="BB3" i="40"/>
  <c r="BA3" i="40"/>
  <c r="AZ3" i="40"/>
  <c r="AY3" i="40"/>
  <c r="AX3" i="40"/>
  <c r="AW3" i="40"/>
  <c r="AV3" i="40"/>
  <c r="AU3" i="40"/>
  <c r="AT3" i="40"/>
  <c r="AS3" i="40"/>
  <c r="BG2" i="40"/>
  <c r="BF2" i="40"/>
  <c r="BE2" i="40"/>
  <c r="BD2" i="40"/>
  <c r="BC2" i="40"/>
  <c r="BB2" i="40"/>
  <c r="BA2" i="40"/>
  <c r="AZ2" i="40"/>
  <c r="AY2" i="40"/>
  <c r="AX2" i="40"/>
  <c r="AW2" i="40"/>
  <c r="AV2" i="40"/>
  <c r="AU2" i="40"/>
  <c r="AT2" i="40"/>
  <c r="AS2" i="40"/>
  <c r="BG62" i="39"/>
  <c r="BF62" i="39"/>
  <c r="BE62" i="39"/>
  <c r="BD62" i="39"/>
  <c r="BC62" i="39"/>
  <c r="BB62" i="39"/>
  <c r="BA62" i="39"/>
  <c r="AZ62" i="39"/>
  <c r="AY62" i="39"/>
  <c r="AX62" i="39"/>
  <c r="AW62" i="39"/>
  <c r="AV62" i="39"/>
  <c r="AU62" i="39"/>
  <c r="AT62" i="39"/>
  <c r="AS62" i="39"/>
  <c r="BG61" i="39"/>
  <c r="BF61" i="39"/>
  <c r="BE61" i="39"/>
  <c r="BD61" i="39"/>
  <c r="BC61" i="39"/>
  <c r="BB61" i="39"/>
  <c r="BA61" i="39"/>
  <c r="AZ61" i="39"/>
  <c r="AY61" i="39"/>
  <c r="AX61" i="39"/>
  <c r="AW61" i="39"/>
  <c r="AV61" i="39"/>
  <c r="AU61" i="39"/>
  <c r="AT61" i="39"/>
  <c r="AS61" i="39"/>
  <c r="BG60" i="39"/>
  <c r="BF60" i="39"/>
  <c r="BE60" i="39"/>
  <c r="BD60" i="39"/>
  <c r="BC60" i="39"/>
  <c r="BB60" i="39"/>
  <c r="BA60" i="39"/>
  <c r="AZ60" i="39"/>
  <c r="AY60" i="39"/>
  <c r="AX60" i="39"/>
  <c r="AW60" i="39"/>
  <c r="AV60" i="39"/>
  <c r="AU60" i="39"/>
  <c r="AT60" i="39"/>
  <c r="AS60" i="39"/>
  <c r="BG59" i="39"/>
  <c r="BF59" i="39"/>
  <c r="BE59" i="39"/>
  <c r="BD59" i="39"/>
  <c r="BC59" i="39"/>
  <c r="BB59" i="39"/>
  <c r="BA59" i="39"/>
  <c r="AZ59" i="39"/>
  <c r="AY59" i="39"/>
  <c r="AX59" i="39"/>
  <c r="AW59" i="39"/>
  <c r="AV59" i="39"/>
  <c r="AU59" i="39"/>
  <c r="AT59" i="39"/>
  <c r="AS59" i="39"/>
  <c r="BG58" i="39"/>
  <c r="BF58" i="39"/>
  <c r="BE58" i="39"/>
  <c r="BD58" i="39"/>
  <c r="BC58" i="39"/>
  <c r="BB58" i="39"/>
  <c r="BA58" i="39"/>
  <c r="AZ58" i="39"/>
  <c r="AY58" i="39"/>
  <c r="AX58" i="39"/>
  <c r="AW58" i="39"/>
  <c r="AV58" i="39"/>
  <c r="AU58" i="39"/>
  <c r="AT58" i="39"/>
  <c r="AS58" i="39"/>
  <c r="BG57" i="39"/>
  <c r="BF57" i="39"/>
  <c r="BE57" i="39"/>
  <c r="BD57" i="39"/>
  <c r="BC57" i="39"/>
  <c r="BB57" i="39"/>
  <c r="BA57" i="39"/>
  <c r="AZ57" i="39"/>
  <c r="AY57" i="39"/>
  <c r="AX57" i="39"/>
  <c r="AW57" i="39"/>
  <c r="AV57" i="39"/>
  <c r="AU57" i="39"/>
  <c r="AT57" i="39"/>
  <c r="AS57" i="39"/>
  <c r="BG56" i="39"/>
  <c r="BF56" i="39"/>
  <c r="BE56" i="39"/>
  <c r="BD56" i="39"/>
  <c r="BC56" i="39"/>
  <c r="BB56" i="39"/>
  <c r="BA56" i="39"/>
  <c r="AZ56" i="39"/>
  <c r="AY56" i="39"/>
  <c r="AX56" i="39"/>
  <c r="AW56" i="39"/>
  <c r="AV56" i="39"/>
  <c r="AU56" i="39"/>
  <c r="AT56" i="39"/>
  <c r="AS56" i="39"/>
  <c r="BG55" i="39"/>
  <c r="BF55" i="39"/>
  <c r="BE55" i="39"/>
  <c r="BD55" i="39"/>
  <c r="BC55" i="39"/>
  <c r="BB55" i="39"/>
  <c r="BA55" i="39"/>
  <c r="AZ55" i="39"/>
  <c r="AY55" i="39"/>
  <c r="AX55" i="39"/>
  <c r="AW55" i="39"/>
  <c r="AV55" i="39"/>
  <c r="AU55" i="39"/>
  <c r="AT55" i="39"/>
  <c r="AS55" i="39"/>
  <c r="BG54" i="39"/>
  <c r="BF54" i="39"/>
  <c r="BE54" i="39"/>
  <c r="BD54" i="39"/>
  <c r="BC54" i="39"/>
  <c r="BB54" i="39"/>
  <c r="BA54" i="39"/>
  <c r="AZ54" i="39"/>
  <c r="AY54" i="39"/>
  <c r="AX54" i="39"/>
  <c r="AW54" i="39"/>
  <c r="AV54" i="39"/>
  <c r="AU54" i="39"/>
  <c r="AT54" i="39"/>
  <c r="AS54" i="39"/>
  <c r="BG53" i="39"/>
  <c r="BF53" i="39"/>
  <c r="BE53" i="39"/>
  <c r="BD53" i="39"/>
  <c r="BC53" i="39"/>
  <c r="BB53" i="39"/>
  <c r="BA53" i="39"/>
  <c r="AZ53" i="39"/>
  <c r="AY53" i="39"/>
  <c r="AX53" i="39"/>
  <c r="AW53" i="39"/>
  <c r="AV53" i="39"/>
  <c r="AU53" i="39"/>
  <c r="AT53" i="39"/>
  <c r="AS53" i="39"/>
  <c r="BG52" i="39"/>
  <c r="BF52" i="39"/>
  <c r="BE52" i="39"/>
  <c r="BD52" i="39"/>
  <c r="BC52" i="39"/>
  <c r="BB52" i="39"/>
  <c r="BA52" i="39"/>
  <c r="AZ52" i="39"/>
  <c r="AY52" i="39"/>
  <c r="AX52" i="39"/>
  <c r="AW52" i="39"/>
  <c r="AV52" i="39"/>
  <c r="AU52" i="39"/>
  <c r="AT52" i="39"/>
  <c r="AS52" i="39"/>
  <c r="BG51" i="39"/>
  <c r="BF51" i="39"/>
  <c r="BE51" i="39"/>
  <c r="BD51" i="39"/>
  <c r="BC51" i="39"/>
  <c r="BB51" i="39"/>
  <c r="BA51" i="39"/>
  <c r="AZ51" i="39"/>
  <c r="AY51" i="39"/>
  <c r="AX51" i="39"/>
  <c r="AW51" i="39"/>
  <c r="AV51" i="39"/>
  <c r="AU51" i="39"/>
  <c r="AT51" i="39"/>
  <c r="AS51" i="39"/>
  <c r="BG50" i="39"/>
  <c r="BF50" i="39"/>
  <c r="BE50" i="39"/>
  <c r="BD50" i="39"/>
  <c r="BC50" i="39"/>
  <c r="BB50" i="39"/>
  <c r="BA50" i="39"/>
  <c r="AZ50" i="39"/>
  <c r="AY50" i="39"/>
  <c r="AX50" i="39"/>
  <c r="AW50" i="39"/>
  <c r="AV50" i="39"/>
  <c r="AU50" i="39"/>
  <c r="AT50" i="39"/>
  <c r="AS50" i="39"/>
  <c r="BG49" i="39"/>
  <c r="BF49" i="39"/>
  <c r="BE49" i="39"/>
  <c r="BD49" i="39"/>
  <c r="BC49" i="39"/>
  <c r="BB49" i="39"/>
  <c r="BA49" i="39"/>
  <c r="AZ49" i="39"/>
  <c r="AY49" i="39"/>
  <c r="AX49" i="39"/>
  <c r="AW49" i="39"/>
  <c r="AV49" i="39"/>
  <c r="AU49" i="39"/>
  <c r="AT49" i="39"/>
  <c r="AS49" i="39"/>
  <c r="BG48" i="39"/>
  <c r="BF48" i="39"/>
  <c r="BE48" i="39"/>
  <c r="BD48" i="39"/>
  <c r="BC48" i="39"/>
  <c r="BB48" i="39"/>
  <c r="BA48" i="39"/>
  <c r="AZ48" i="39"/>
  <c r="AY48" i="39"/>
  <c r="AX48" i="39"/>
  <c r="AW48" i="39"/>
  <c r="AV48" i="39"/>
  <c r="AU48" i="39"/>
  <c r="AT48" i="39"/>
  <c r="AS48" i="39"/>
  <c r="BG47" i="39"/>
  <c r="BF47" i="39"/>
  <c r="BE47" i="39"/>
  <c r="BD47" i="39"/>
  <c r="BC47" i="39"/>
  <c r="BB47" i="39"/>
  <c r="BA47" i="39"/>
  <c r="AZ47" i="39"/>
  <c r="AY47" i="39"/>
  <c r="AX47" i="39"/>
  <c r="AW47" i="39"/>
  <c r="AV47" i="39"/>
  <c r="AU47" i="39"/>
  <c r="AT47" i="39"/>
  <c r="AS47" i="39"/>
  <c r="BG46" i="39"/>
  <c r="BF46" i="39"/>
  <c r="BE46" i="39"/>
  <c r="BD46" i="39"/>
  <c r="BC46" i="39"/>
  <c r="BB46" i="39"/>
  <c r="BA46" i="39"/>
  <c r="AZ46" i="39"/>
  <c r="AY46" i="39"/>
  <c r="AX46" i="39"/>
  <c r="AW46" i="39"/>
  <c r="AV46" i="39"/>
  <c r="AU46" i="39"/>
  <c r="AT46" i="39"/>
  <c r="AS46" i="39"/>
  <c r="BG45" i="39"/>
  <c r="BF45" i="39"/>
  <c r="BE45" i="39"/>
  <c r="BD45" i="39"/>
  <c r="BC45" i="39"/>
  <c r="BB45" i="39"/>
  <c r="BA45" i="39"/>
  <c r="AZ45" i="39"/>
  <c r="AY45" i="39"/>
  <c r="AX45" i="39"/>
  <c r="AW45" i="39"/>
  <c r="AV45" i="39"/>
  <c r="AU45" i="39"/>
  <c r="AT45" i="39"/>
  <c r="AS45" i="39"/>
  <c r="BG44" i="39"/>
  <c r="BF44" i="39"/>
  <c r="BE44" i="39"/>
  <c r="BD44" i="39"/>
  <c r="BC44" i="39"/>
  <c r="BB44" i="39"/>
  <c r="BA44" i="39"/>
  <c r="AZ44" i="39"/>
  <c r="AY44" i="39"/>
  <c r="AX44" i="39"/>
  <c r="AW44" i="39"/>
  <c r="AV44" i="39"/>
  <c r="AU44" i="39"/>
  <c r="AT44" i="39"/>
  <c r="AS44" i="39"/>
  <c r="BG43" i="39"/>
  <c r="BF43" i="39"/>
  <c r="BE43" i="39"/>
  <c r="BD43" i="39"/>
  <c r="BC43" i="39"/>
  <c r="BB43" i="39"/>
  <c r="BA43" i="39"/>
  <c r="AZ43" i="39"/>
  <c r="AY43" i="39"/>
  <c r="AX43" i="39"/>
  <c r="AW43" i="39"/>
  <c r="AV43" i="39"/>
  <c r="AU43" i="39"/>
  <c r="AT43" i="39"/>
  <c r="AS43" i="39"/>
  <c r="BG42" i="39"/>
  <c r="BF42" i="39"/>
  <c r="BE42" i="39"/>
  <c r="BD42" i="39"/>
  <c r="BC42" i="39"/>
  <c r="BB42" i="39"/>
  <c r="BA42" i="39"/>
  <c r="AZ42" i="39"/>
  <c r="AY42" i="39"/>
  <c r="AX42" i="39"/>
  <c r="AW42" i="39"/>
  <c r="AV42" i="39"/>
  <c r="AU42" i="39"/>
  <c r="AT42" i="39"/>
  <c r="AS42" i="39"/>
  <c r="BG41" i="39"/>
  <c r="BF41" i="39"/>
  <c r="BE41" i="39"/>
  <c r="BD41" i="39"/>
  <c r="BC41" i="39"/>
  <c r="BB41" i="39"/>
  <c r="BA41" i="39"/>
  <c r="AZ41" i="39"/>
  <c r="AY41" i="39"/>
  <c r="AX41" i="39"/>
  <c r="AW41" i="39"/>
  <c r="AV41" i="39"/>
  <c r="AU41" i="39"/>
  <c r="AT41" i="39"/>
  <c r="AS41" i="39"/>
  <c r="BG40" i="39"/>
  <c r="BF40" i="39"/>
  <c r="BE40" i="39"/>
  <c r="BD40" i="39"/>
  <c r="BC40" i="39"/>
  <c r="BB40" i="39"/>
  <c r="BA40" i="39"/>
  <c r="AZ40" i="39"/>
  <c r="AY40" i="39"/>
  <c r="AX40" i="39"/>
  <c r="AW40" i="39"/>
  <c r="AV40" i="39"/>
  <c r="AU40" i="39"/>
  <c r="AT40" i="39"/>
  <c r="AS40" i="39"/>
  <c r="BG39" i="39"/>
  <c r="BF39" i="39"/>
  <c r="BE39" i="39"/>
  <c r="BD39" i="39"/>
  <c r="BC39" i="39"/>
  <c r="BB39" i="39"/>
  <c r="BA39" i="39"/>
  <c r="AZ39" i="39"/>
  <c r="AY39" i="39"/>
  <c r="AX39" i="39"/>
  <c r="AW39" i="39"/>
  <c r="AV39" i="39"/>
  <c r="AU39" i="39"/>
  <c r="AT39" i="39"/>
  <c r="AS39" i="39"/>
  <c r="BG38" i="39"/>
  <c r="BF38" i="39"/>
  <c r="BE38" i="39"/>
  <c r="BD38" i="39"/>
  <c r="BC38" i="39"/>
  <c r="BB38" i="39"/>
  <c r="BA38" i="39"/>
  <c r="AZ38" i="39"/>
  <c r="AY38" i="39"/>
  <c r="AX38" i="39"/>
  <c r="AW38" i="39"/>
  <c r="AV38" i="39"/>
  <c r="AU38" i="39"/>
  <c r="AT38" i="39"/>
  <c r="AS38" i="39"/>
  <c r="BG37" i="39"/>
  <c r="BF37" i="39"/>
  <c r="BE37" i="39"/>
  <c r="BD37" i="39"/>
  <c r="BC37" i="39"/>
  <c r="BB37" i="39"/>
  <c r="BA37" i="39"/>
  <c r="AZ37" i="39"/>
  <c r="AY37" i="39"/>
  <c r="AX37" i="39"/>
  <c r="AW37" i="39"/>
  <c r="AV37" i="39"/>
  <c r="AU37" i="39"/>
  <c r="AT37" i="39"/>
  <c r="AS37" i="39"/>
  <c r="BG36" i="39"/>
  <c r="BF36" i="39"/>
  <c r="BE36" i="39"/>
  <c r="BD36" i="39"/>
  <c r="BC36" i="39"/>
  <c r="BB36" i="39"/>
  <c r="BA36" i="39"/>
  <c r="AZ36" i="39"/>
  <c r="AY36" i="39"/>
  <c r="AX36" i="39"/>
  <c r="AW36" i="39"/>
  <c r="AV36" i="39"/>
  <c r="AU36" i="39"/>
  <c r="AT36" i="39"/>
  <c r="AS36" i="39"/>
  <c r="BG35" i="39"/>
  <c r="BF35" i="39"/>
  <c r="BE35" i="39"/>
  <c r="BD35" i="39"/>
  <c r="BC35" i="39"/>
  <c r="BB35" i="39"/>
  <c r="BA35" i="39"/>
  <c r="AZ35" i="39"/>
  <c r="AY35" i="39"/>
  <c r="AX35" i="39"/>
  <c r="AW35" i="39"/>
  <c r="AV35" i="39"/>
  <c r="AU35" i="39"/>
  <c r="AT35" i="39"/>
  <c r="AS35" i="39"/>
  <c r="BG34" i="39"/>
  <c r="BF34" i="39"/>
  <c r="BE34" i="39"/>
  <c r="BD34" i="39"/>
  <c r="BC34" i="39"/>
  <c r="BB34" i="39"/>
  <c r="BA34" i="39"/>
  <c r="AZ34" i="39"/>
  <c r="AY34" i="39"/>
  <c r="AX34" i="39"/>
  <c r="AW34" i="39"/>
  <c r="AV34" i="39"/>
  <c r="AU34" i="39"/>
  <c r="AT34" i="39"/>
  <c r="AS34" i="39"/>
  <c r="BG33" i="39"/>
  <c r="BF33" i="39"/>
  <c r="BE33" i="39"/>
  <c r="BD33" i="39"/>
  <c r="BC33" i="39"/>
  <c r="BB33" i="39"/>
  <c r="BA33" i="39"/>
  <c r="AZ33" i="39"/>
  <c r="AY33" i="39"/>
  <c r="AX33" i="39"/>
  <c r="AW33" i="39"/>
  <c r="AV33" i="39"/>
  <c r="AU33" i="39"/>
  <c r="AT33" i="39"/>
  <c r="AS33" i="39"/>
  <c r="BG32" i="39"/>
  <c r="BF32" i="39"/>
  <c r="BE32" i="39"/>
  <c r="BD32" i="39"/>
  <c r="BC32" i="39"/>
  <c r="BB32" i="39"/>
  <c r="BA32" i="39"/>
  <c r="AZ32" i="39"/>
  <c r="AY32" i="39"/>
  <c r="AX32" i="39"/>
  <c r="AW32" i="39"/>
  <c r="AV32" i="39"/>
  <c r="AU32" i="39"/>
  <c r="AT32" i="39"/>
  <c r="AS32" i="39"/>
  <c r="BG31" i="39"/>
  <c r="BF31" i="39"/>
  <c r="BE31" i="39"/>
  <c r="BD31" i="39"/>
  <c r="BC31" i="39"/>
  <c r="BB31" i="39"/>
  <c r="BA31" i="39"/>
  <c r="AZ31" i="39"/>
  <c r="AY31" i="39"/>
  <c r="AX31" i="39"/>
  <c r="AW31" i="39"/>
  <c r="AV31" i="39"/>
  <c r="AU31" i="39"/>
  <c r="AT31" i="39"/>
  <c r="AS31" i="39"/>
  <c r="BG30" i="39"/>
  <c r="BF30" i="39"/>
  <c r="BE30" i="39"/>
  <c r="BD30" i="39"/>
  <c r="BC30" i="39"/>
  <c r="BB30" i="39"/>
  <c r="BA30" i="39"/>
  <c r="AZ30" i="39"/>
  <c r="AY30" i="39"/>
  <c r="AX30" i="39"/>
  <c r="AW30" i="39"/>
  <c r="AV30" i="39"/>
  <c r="AU30" i="39"/>
  <c r="AT30" i="39"/>
  <c r="AS30" i="39"/>
  <c r="BG29" i="39"/>
  <c r="BF29" i="39"/>
  <c r="BE29" i="39"/>
  <c r="BD29" i="39"/>
  <c r="BC29" i="39"/>
  <c r="BB29" i="39"/>
  <c r="BA29" i="39"/>
  <c r="AZ29" i="39"/>
  <c r="AY29" i="39"/>
  <c r="AX29" i="39"/>
  <c r="AW29" i="39"/>
  <c r="AV29" i="39"/>
  <c r="AU29" i="39"/>
  <c r="AT29" i="39"/>
  <c r="AS29" i="39"/>
  <c r="BG28" i="39"/>
  <c r="BF28" i="39"/>
  <c r="BE28" i="39"/>
  <c r="BD28" i="39"/>
  <c r="BC28" i="39"/>
  <c r="BB28" i="39"/>
  <c r="BA28" i="39"/>
  <c r="AZ28" i="39"/>
  <c r="AY28" i="39"/>
  <c r="AX28" i="39"/>
  <c r="AW28" i="39"/>
  <c r="AV28" i="39"/>
  <c r="AU28" i="39"/>
  <c r="AT28" i="39"/>
  <c r="AS28" i="39"/>
  <c r="BG27" i="39"/>
  <c r="BF27" i="39"/>
  <c r="BE27" i="39"/>
  <c r="BD27" i="39"/>
  <c r="BC27" i="39"/>
  <c r="BB27" i="39"/>
  <c r="BA27" i="39"/>
  <c r="AZ27" i="39"/>
  <c r="AY27" i="39"/>
  <c r="AX27" i="39"/>
  <c r="AW27" i="39"/>
  <c r="AV27" i="39"/>
  <c r="AU27" i="39"/>
  <c r="AT27" i="39"/>
  <c r="AS27" i="39"/>
  <c r="BG26" i="39"/>
  <c r="BF26" i="39"/>
  <c r="BE26" i="39"/>
  <c r="BD26" i="39"/>
  <c r="BC26" i="39"/>
  <c r="BB26" i="39"/>
  <c r="BA26" i="39"/>
  <c r="AZ26" i="39"/>
  <c r="AY26" i="39"/>
  <c r="AX26" i="39"/>
  <c r="AW26" i="39"/>
  <c r="AV26" i="39"/>
  <c r="AU26" i="39"/>
  <c r="AT26" i="39"/>
  <c r="AS26" i="39"/>
  <c r="H26" i="39"/>
  <c r="E26" i="39"/>
  <c r="C26" i="39"/>
  <c r="BG25" i="39"/>
  <c r="BF25" i="39"/>
  <c r="BE25" i="39"/>
  <c r="BD25" i="39"/>
  <c r="BC25" i="39"/>
  <c r="BB25" i="39"/>
  <c r="BA25" i="39"/>
  <c r="AZ25" i="39"/>
  <c r="AY25" i="39"/>
  <c r="AX25" i="39"/>
  <c r="AW25" i="39"/>
  <c r="AV25" i="39"/>
  <c r="AU25" i="39"/>
  <c r="AT25" i="39"/>
  <c r="AS25" i="39"/>
  <c r="C25" i="39"/>
  <c r="BG24" i="39"/>
  <c r="BF24" i="39"/>
  <c r="BE24" i="39"/>
  <c r="BD24" i="39"/>
  <c r="BC24" i="39"/>
  <c r="BB24" i="39"/>
  <c r="BA24" i="39"/>
  <c r="AZ24" i="39"/>
  <c r="AY24" i="39"/>
  <c r="AX24" i="39"/>
  <c r="AW24" i="39"/>
  <c r="AV24" i="39"/>
  <c r="AU24" i="39"/>
  <c r="AT24" i="39"/>
  <c r="AS24" i="39"/>
  <c r="BG23" i="39"/>
  <c r="BF23" i="39"/>
  <c r="BE23" i="39"/>
  <c r="BD23" i="39"/>
  <c r="BC23" i="39"/>
  <c r="BB23" i="39"/>
  <c r="BA23" i="39"/>
  <c r="AZ23" i="39"/>
  <c r="AY23" i="39"/>
  <c r="AX23" i="39"/>
  <c r="AW23" i="39"/>
  <c r="AV23" i="39"/>
  <c r="AU23" i="39"/>
  <c r="AT23" i="39"/>
  <c r="AS23" i="39"/>
  <c r="G23" i="39"/>
  <c r="E25" i="39" s="1"/>
  <c r="BG22" i="39"/>
  <c r="BF22" i="39"/>
  <c r="BE22" i="39"/>
  <c r="BD22" i="39"/>
  <c r="BC22" i="39"/>
  <c r="BB22" i="39"/>
  <c r="BA22" i="39"/>
  <c r="AZ22" i="39"/>
  <c r="AY22" i="39"/>
  <c r="AX22" i="39"/>
  <c r="AW22" i="39"/>
  <c r="AV22" i="39"/>
  <c r="AU22" i="39"/>
  <c r="AT22" i="39"/>
  <c r="AS22" i="39"/>
  <c r="BG21" i="39"/>
  <c r="BF21" i="39"/>
  <c r="BE21" i="39"/>
  <c r="BD21" i="39"/>
  <c r="BC21" i="39"/>
  <c r="BB21" i="39"/>
  <c r="BA21" i="39"/>
  <c r="AZ21" i="39"/>
  <c r="AY21" i="39"/>
  <c r="AX21" i="39"/>
  <c r="AW21" i="39"/>
  <c r="AV21" i="39"/>
  <c r="AU21" i="39"/>
  <c r="AT21" i="39"/>
  <c r="AS21" i="39"/>
  <c r="AN21" i="39"/>
  <c r="AM21" i="39"/>
  <c r="AL21" i="39"/>
  <c r="AK21" i="39"/>
  <c r="AJ21" i="39"/>
  <c r="AI21" i="39"/>
  <c r="AH21" i="39"/>
  <c r="AG21" i="39"/>
  <c r="AF21" i="39"/>
  <c r="AE21" i="39"/>
  <c r="AD21" i="39"/>
  <c r="AC21" i="39"/>
  <c r="AB21" i="39"/>
  <c r="AA21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H21" i="39"/>
  <c r="G21" i="39"/>
  <c r="BG20" i="39"/>
  <c r="BF20" i="39"/>
  <c r="BE20" i="39"/>
  <c r="BD20" i="39"/>
  <c r="BC20" i="39"/>
  <c r="BB20" i="39"/>
  <c r="BA20" i="39"/>
  <c r="AZ20" i="39"/>
  <c r="AY20" i="39"/>
  <c r="AX20" i="39"/>
  <c r="AW20" i="39"/>
  <c r="AV20" i="39"/>
  <c r="AU20" i="39"/>
  <c r="AT20" i="39"/>
  <c r="AS20" i="39"/>
  <c r="BG19" i="39"/>
  <c r="BF19" i="39"/>
  <c r="BE19" i="39"/>
  <c r="BD19" i="39"/>
  <c r="BC19" i="39"/>
  <c r="BB19" i="39"/>
  <c r="BA19" i="39"/>
  <c r="AZ19" i="39"/>
  <c r="AY19" i="39"/>
  <c r="AX19" i="39"/>
  <c r="AW19" i="39"/>
  <c r="AV19" i="39"/>
  <c r="AU19" i="39"/>
  <c r="AT19" i="39"/>
  <c r="AS19" i="39"/>
  <c r="BG18" i="39"/>
  <c r="BF18" i="39"/>
  <c r="BE18" i="39"/>
  <c r="BD18" i="39"/>
  <c r="BC18" i="39"/>
  <c r="BB18" i="39"/>
  <c r="BA18" i="39"/>
  <c r="AZ18" i="39"/>
  <c r="AY18" i="39"/>
  <c r="AX18" i="39"/>
  <c r="AW18" i="39"/>
  <c r="AV18" i="39"/>
  <c r="AU18" i="39"/>
  <c r="AT18" i="39"/>
  <c r="AS18" i="39"/>
  <c r="AK18" i="39"/>
  <c r="AH18" i="39"/>
  <c r="AE18" i="39"/>
  <c r="I18" i="39"/>
  <c r="D18" i="39"/>
  <c r="BG17" i="39"/>
  <c r="BF17" i="39"/>
  <c r="BE17" i="39"/>
  <c r="BD17" i="39"/>
  <c r="BC17" i="39"/>
  <c r="BB17" i="39"/>
  <c r="BA17" i="39"/>
  <c r="AZ17" i="39"/>
  <c r="AY17" i="39"/>
  <c r="AX17" i="39"/>
  <c r="AW17" i="39"/>
  <c r="AV17" i="39"/>
  <c r="AU17" i="39"/>
  <c r="AT17" i="39"/>
  <c r="AS17" i="39"/>
  <c r="BG16" i="39"/>
  <c r="BF16" i="39"/>
  <c r="BE16" i="39"/>
  <c r="BD16" i="39"/>
  <c r="BC16" i="39"/>
  <c r="BB16" i="39"/>
  <c r="BA16" i="39"/>
  <c r="AZ16" i="39"/>
  <c r="AY16" i="39"/>
  <c r="AX16" i="39"/>
  <c r="AW16" i="39"/>
  <c r="AV16" i="39"/>
  <c r="AU16" i="39"/>
  <c r="AT16" i="39"/>
  <c r="AS16" i="39"/>
  <c r="AN16" i="39"/>
  <c r="AM16" i="39"/>
  <c r="AL16" i="39"/>
  <c r="AK16" i="39"/>
  <c r="AJ16" i="39"/>
  <c r="AI16" i="39"/>
  <c r="AH16" i="39"/>
  <c r="AG16" i="39"/>
  <c r="AF16" i="39"/>
  <c r="AE16" i="39"/>
  <c r="AD16" i="39"/>
  <c r="AC16" i="39"/>
  <c r="AB16" i="39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BG15" i="39"/>
  <c r="BF15" i="39"/>
  <c r="BE15" i="39"/>
  <c r="BD15" i="39"/>
  <c r="BC15" i="39"/>
  <c r="BB15" i="39"/>
  <c r="BA15" i="39"/>
  <c r="AZ15" i="39"/>
  <c r="AY15" i="39"/>
  <c r="AX15" i="39"/>
  <c r="AW15" i="39"/>
  <c r="AV15" i="39"/>
  <c r="AU15" i="39"/>
  <c r="AT15" i="39"/>
  <c r="AS15" i="39"/>
  <c r="BG14" i="39"/>
  <c r="BF14" i="39"/>
  <c r="BE14" i="39"/>
  <c r="BD14" i="39"/>
  <c r="BC14" i="39"/>
  <c r="BB14" i="39"/>
  <c r="BA14" i="39"/>
  <c r="AZ14" i="39"/>
  <c r="AY14" i="39"/>
  <c r="AX14" i="39"/>
  <c r="AW14" i="39"/>
  <c r="AV14" i="39"/>
  <c r="AU14" i="39"/>
  <c r="AT14" i="39"/>
  <c r="AS14" i="39"/>
  <c r="AP14" i="39"/>
  <c r="E14" i="39"/>
  <c r="BG13" i="39"/>
  <c r="BF13" i="39"/>
  <c r="BE13" i="39"/>
  <c r="BD13" i="39"/>
  <c r="BC13" i="39"/>
  <c r="BB13" i="39"/>
  <c r="BA13" i="39"/>
  <c r="AZ13" i="39"/>
  <c r="AY13" i="39"/>
  <c r="AX13" i="39"/>
  <c r="AW13" i="39"/>
  <c r="AV13" i="39"/>
  <c r="AU13" i="39"/>
  <c r="AT13" i="39"/>
  <c r="AS13" i="39"/>
  <c r="E13" i="39"/>
  <c r="BG12" i="39"/>
  <c r="BF12" i="39"/>
  <c r="BE12" i="39"/>
  <c r="BD12" i="39"/>
  <c r="BC12" i="39"/>
  <c r="BB12" i="39"/>
  <c r="BA12" i="39"/>
  <c r="AZ12" i="39"/>
  <c r="AY12" i="39"/>
  <c r="AX12" i="39"/>
  <c r="AW12" i="39"/>
  <c r="AV12" i="39"/>
  <c r="AU12" i="39"/>
  <c r="AT12" i="39"/>
  <c r="AS12" i="39"/>
  <c r="E12" i="39"/>
  <c r="BG11" i="39"/>
  <c r="BF11" i="39"/>
  <c r="BE11" i="39"/>
  <c r="BD11" i="39"/>
  <c r="BC11" i="39"/>
  <c r="BB11" i="39"/>
  <c r="BA11" i="39"/>
  <c r="AZ11" i="39"/>
  <c r="AY11" i="39"/>
  <c r="AX11" i="39"/>
  <c r="AW11" i="39"/>
  <c r="AV11" i="39"/>
  <c r="AU11" i="39"/>
  <c r="AT11" i="39"/>
  <c r="AS11" i="39"/>
  <c r="AP11" i="39"/>
  <c r="E11" i="39"/>
  <c r="BG10" i="39"/>
  <c r="BF10" i="39"/>
  <c r="BE10" i="39"/>
  <c r="BD10" i="39"/>
  <c r="BC10" i="39"/>
  <c r="BB10" i="39"/>
  <c r="BA10" i="39"/>
  <c r="AZ10" i="39"/>
  <c r="AY10" i="39"/>
  <c r="AX10" i="39"/>
  <c r="AW10" i="39"/>
  <c r="AV10" i="39"/>
  <c r="AU10" i="39"/>
  <c r="AT10" i="39"/>
  <c r="AS10" i="39"/>
  <c r="E10" i="39"/>
  <c r="BG9" i="39"/>
  <c r="BF9" i="39"/>
  <c r="BE9" i="39"/>
  <c r="BD9" i="39"/>
  <c r="BC9" i="39"/>
  <c r="BB9" i="39"/>
  <c r="BA9" i="39"/>
  <c r="AZ9" i="39"/>
  <c r="AY9" i="39"/>
  <c r="AX9" i="39"/>
  <c r="AW9" i="39"/>
  <c r="AV9" i="39"/>
  <c r="AU9" i="39"/>
  <c r="AT9" i="39"/>
  <c r="AS9" i="39"/>
  <c r="AP9" i="39"/>
  <c r="E9" i="39"/>
  <c r="BG8" i="39"/>
  <c r="BF8" i="39"/>
  <c r="BE8" i="39"/>
  <c r="BD8" i="39"/>
  <c r="BC8" i="39"/>
  <c r="BB8" i="39"/>
  <c r="BA8" i="39"/>
  <c r="AZ8" i="39"/>
  <c r="AY8" i="39"/>
  <c r="AX8" i="39"/>
  <c r="AW8" i="39"/>
  <c r="AV8" i="39"/>
  <c r="AU8" i="39"/>
  <c r="AT8" i="39"/>
  <c r="AS8" i="39"/>
  <c r="E8" i="39"/>
  <c r="BG7" i="39"/>
  <c r="BF7" i="39"/>
  <c r="BE7" i="39"/>
  <c r="BD7" i="39"/>
  <c r="BC7" i="39"/>
  <c r="BB7" i="39"/>
  <c r="BA7" i="39"/>
  <c r="AZ7" i="39"/>
  <c r="AY7" i="39"/>
  <c r="AX7" i="39"/>
  <c r="AW7" i="39"/>
  <c r="AV7" i="39"/>
  <c r="AU7" i="39"/>
  <c r="AT7" i="39"/>
  <c r="AS7" i="39"/>
  <c r="AP7" i="39"/>
  <c r="E7" i="39"/>
  <c r="BG6" i="39"/>
  <c r="BF6" i="39"/>
  <c r="BE6" i="39"/>
  <c r="BD6" i="39"/>
  <c r="BC6" i="39"/>
  <c r="BB6" i="39"/>
  <c r="BA6" i="39"/>
  <c r="AZ6" i="39"/>
  <c r="AY6" i="39"/>
  <c r="AX6" i="39"/>
  <c r="AW6" i="39"/>
  <c r="AV6" i="39"/>
  <c r="AU6" i="39"/>
  <c r="AT6" i="39"/>
  <c r="AS6" i="39"/>
  <c r="E6" i="39"/>
  <c r="BG5" i="39"/>
  <c r="BF5" i="39"/>
  <c r="BE5" i="39"/>
  <c r="BD5" i="39"/>
  <c r="BC5" i="39"/>
  <c r="BB5" i="39"/>
  <c r="BA5" i="39"/>
  <c r="AZ5" i="39"/>
  <c r="AY5" i="39"/>
  <c r="AX5" i="39"/>
  <c r="AW5" i="39"/>
  <c r="AV5" i="39"/>
  <c r="AU5" i="39"/>
  <c r="AT5" i="39"/>
  <c r="AS5" i="39"/>
  <c r="E5" i="39"/>
  <c r="BG4" i="39"/>
  <c r="BF4" i="39"/>
  <c r="BE4" i="39"/>
  <c r="BD4" i="39"/>
  <c r="BC4" i="39"/>
  <c r="BB4" i="39"/>
  <c r="BA4" i="39"/>
  <c r="AZ4" i="39"/>
  <c r="AY4" i="39"/>
  <c r="AX4" i="39"/>
  <c r="AW4" i="39"/>
  <c r="AV4" i="39"/>
  <c r="AU4" i="39"/>
  <c r="AT4" i="39"/>
  <c r="AS4" i="39"/>
  <c r="AP4" i="39"/>
  <c r="E4" i="39"/>
  <c r="E18" i="39" s="1"/>
  <c r="BG3" i="39"/>
  <c r="BF3" i="39"/>
  <c r="BE3" i="39"/>
  <c r="BD3" i="39"/>
  <c r="BC3" i="39"/>
  <c r="BB3" i="39"/>
  <c r="BA3" i="39"/>
  <c r="AZ3" i="39"/>
  <c r="AY3" i="39"/>
  <c r="AX3" i="39"/>
  <c r="AW3" i="39"/>
  <c r="AV3" i="39"/>
  <c r="AU3" i="39"/>
  <c r="AT3" i="39"/>
  <c r="AS3" i="39"/>
  <c r="BG2" i="39"/>
  <c r="BF2" i="39"/>
  <c r="BE2" i="39"/>
  <c r="BD2" i="39"/>
  <c r="BC2" i="39"/>
  <c r="BB2" i="39"/>
  <c r="BA2" i="39"/>
  <c r="AZ2" i="39"/>
  <c r="AY2" i="39"/>
  <c r="AX2" i="39"/>
  <c r="AW2" i="39"/>
  <c r="AV2" i="39"/>
  <c r="AU2" i="39"/>
  <c r="AT2" i="39"/>
  <c r="AS2" i="39"/>
  <c r="BG62" i="38"/>
  <c r="BF62" i="38"/>
  <c r="BE62" i="38"/>
  <c r="BD62" i="38"/>
  <c r="BC62" i="38"/>
  <c r="BB62" i="38"/>
  <c r="BA62" i="38"/>
  <c r="AZ62" i="38"/>
  <c r="AY62" i="38"/>
  <c r="AX62" i="38"/>
  <c r="AW62" i="38"/>
  <c r="AV62" i="38"/>
  <c r="AU62" i="38"/>
  <c r="AT62" i="38"/>
  <c r="AS62" i="38"/>
  <c r="BG61" i="38"/>
  <c r="BF61" i="38"/>
  <c r="BE61" i="38"/>
  <c r="BD61" i="38"/>
  <c r="BC61" i="38"/>
  <c r="BB61" i="38"/>
  <c r="BA61" i="38"/>
  <c r="AZ61" i="38"/>
  <c r="AY61" i="38"/>
  <c r="AX61" i="38"/>
  <c r="AW61" i="38"/>
  <c r="AV61" i="38"/>
  <c r="AU61" i="38"/>
  <c r="AT61" i="38"/>
  <c r="AS61" i="38"/>
  <c r="BG60" i="38"/>
  <c r="BF60" i="38"/>
  <c r="BE60" i="38"/>
  <c r="BD60" i="38"/>
  <c r="BC60" i="38"/>
  <c r="BB60" i="38"/>
  <c r="BA60" i="38"/>
  <c r="AZ60" i="38"/>
  <c r="AY60" i="38"/>
  <c r="AX60" i="38"/>
  <c r="AW60" i="38"/>
  <c r="AV60" i="38"/>
  <c r="AU60" i="38"/>
  <c r="AT60" i="38"/>
  <c r="AS60" i="38"/>
  <c r="BG59" i="38"/>
  <c r="BF59" i="38"/>
  <c r="BE59" i="38"/>
  <c r="BD59" i="38"/>
  <c r="BC59" i="38"/>
  <c r="BB59" i="38"/>
  <c r="BA59" i="38"/>
  <c r="AZ59" i="38"/>
  <c r="AY59" i="38"/>
  <c r="AX59" i="38"/>
  <c r="AW59" i="38"/>
  <c r="AV59" i="38"/>
  <c r="AU59" i="38"/>
  <c r="AT59" i="38"/>
  <c r="AS59" i="38"/>
  <c r="BG58" i="38"/>
  <c r="BF58" i="38"/>
  <c r="BE58" i="38"/>
  <c r="BD58" i="38"/>
  <c r="BC58" i="38"/>
  <c r="BB58" i="38"/>
  <c r="BA58" i="38"/>
  <c r="AZ58" i="38"/>
  <c r="AY58" i="38"/>
  <c r="AX58" i="38"/>
  <c r="AW58" i="38"/>
  <c r="AV58" i="38"/>
  <c r="AU58" i="38"/>
  <c r="AT58" i="38"/>
  <c r="AS58" i="38"/>
  <c r="BG57" i="38"/>
  <c r="BF57" i="38"/>
  <c r="BE57" i="38"/>
  <c r="BD57" i="38"/>
  <c r="BC57" i="38"/>
  <c r="BB57" i="38"/>
  <c r="BA57" i="38"/>
  <c r="AZ57" i="38"/>
  <c r="AY57" i="38"/>
  <c r="AX57" i="38"/>
  <c r="AW57" i="38"/>
  <c r="AV57" i="38"/>
  <c r="AU57" i="38"/>
  <c r="AT57" i="38"/>
  <c r="AS57" i="38"/>
  <c r="BG56" i="38"/>
  <c r="BF56" i="38"/>
  <c r="BE56" i="38"/>
  <c r="BD56" i="38"/>
  <c r="BC56" i="38"/>
  <c r="BB56" i="38"/>
  <c r="BA56" i="38"/>
  <c r="AZ56" i="38"/>
  <c r="AY56" i="38"/>
  <c r="AX56" i="38"/>
  <c r="AW56" i="38"/>
  <c r="AV56" i="38"/>
  <c r="AU56" i="38"/>
  <c r="AT56" i="38"/>
  <c r="AS56" i="38"/>
  <c r="BG55" i="38"/>
  <c r="BF55" i="38"/>
  <c r="BE55" i="38"/>
  <c r="BD55" i="38"/>
  <c r="BC55" i="38"/>
  <c r="BB55" i="38"/>
  <c r="BA55" i="38"/>
  <c r="AZ55" i="38"/>
  <c r="AY55" i="38"/>
  <c r="AX55" i="38"/>
  <c r="AW55" i="38"/>
  <c r="AV55" i="38"/>
  <c r="AU55" i="38"/>
  <c r="AT55" i="38"/>
  <c r="AS55" i="38"/>
  <c r="BG54" i="38"/>
  <c r="BF54" i="38"/>
  <c r="BE54" i="38"/>
  <c r="BD54" i="38"/>
  <c r="BC54" i="38"/>
  <c r="BB54" i="38"/>
  <c r="BA54" i="38"/>
  <c r="AZ54" i="38"/>
  <c r="AY54" i="38"/>
  <c r="AX54" i="38"/>
  <c r="AW54" i="38"/>
  <c r="AV54" i="38"/>
  <c r="AU54" i="38"/>
  <c r="AT54" i="38"/>
  <c r="AS54" i="38"/>
  <c r="BG53" i="38"/>
  <c r="BF53" i="38"/>
  <c r="BE53" i="38"/>
  <c r="BD53" i="38"/>
  <c r="BC53" i="38"/>
  <c r="BB53" i="38"/>
  <c r="BA53" i="38"/>
  <c r="AZ53" i="38"/>
  <c r="AY53" i="38"/>
  <c r="AX53" i="38"/>
  <c r="AW53" i="38"/>
  <c r="AV53" i="38"/>
  <c r="AU53" i="38"/>
  <c r="AT53" i="38"/>
  <c r="AS53" i="38"/>
  <c r="BG52" i="38"/>
  <c r="BF52" i="38"/>
  <c r="BE52" i="38"/>
  <c r="BD52" i="38"/>
  <c r="BC52" i="38"/>
  <c r="BB52" i="38"/>
  <c r="BA52" i="38"/>
  <c r="AZ52" i="38"/>
  <c r="AY52" i="38"/>
  <c r="AX52" i="38"/>
  <c r="AW52" i="38"/>
  <c r="AV52" i="38"/>
  <c r="AU52" i="38"/>
  <c r="AT52" i="38"/>
  <c r="AS52" i="38"/>
  <c r="BG51" i="38"/>
  <c r="BF51" i="38"/>
  <c r="BE51" i="38"/>
  <c r="BD51" i="38"/>
  <c r="BC51" i="38"/>
  <c r="BB51" i="38"/>
  <c r="BA51" i="38"/>
  <c r="AZ51" i="38"/>
  <c r="AY51" i="38"/>
  <c r="AX51" i="38"/>
  <c r="AW51" i="38"/>
  <c r="AV51" i="38"/>
  <c r="AU51" i="38"/>
  <c r="AT51" i="38"/>
  <c r="AS51" i="38"/>
  <c r="BG50" i="38"/>
  <c r="BF50" i="38"/>
  <c r="BE50" i="38"/>
  <c r="BD50" i="38"/>
  <c r="BC50" i="38"/>
  <c r="BB50" i="38"/>
  <c r="BA50" i="38"/>
  <c r="AZ50" i="38"/>
  <c r="AY50" i="38"/>
  <c r="AX50" i="38"/>
  <c r="AW50" i="38"/>
  <c r="AV50" i="38"/>
  <c r="AU50" i="38"/>
  <c r="AT50" i="38"/>
  <c r="AS50" i="38"/>
  <c r="BG49" i="38"/>
  <c r="BF49" i="38"/>
  <c r="BE49" i="38"/>
  <c r="BD49" i="38"/>
  <c r="BC49" i="38"/>
  <c r="BB49" i="38"/>
  <c r="BA49" i="38"/>
  <c r="AZ49" i="38"/>
  <c r="AY49" i="38"/>
  <c r="AX49" i="38"/>
  <c r="AW49" i="38"/>
  <c r="AV49" i="38"/>
  <c r="AU49" i="38"/>
  <c r="AT49" i="38"/>
  <c r="AS49" i="38"/>
  <c r="BG48" i="38"/>
  <c r="BF48" i="38"/>
  <c r="BE48" i="38"/>
  <c r="BD48" i="38"/>
  <c r="BC48" i="38"/>
  <c r="BB48" i="38"/>
  <c r="BA48" i="38"/>
  <c r="AZ48" i="38"/>
  <c r="AY48" i="38"/>
  <c r="AX48" i="38"/>
  <c r="AW48" i="38"/>
  <c r="AV48" i="38"/>
  <c r="AU48" i="38"/>
  <c r="AT48" i="38"/>
  <c r="AS48" i="38"/>
  <c r="BG47" i="38"/>
  <c r="BF47" i="38"/>
  <c r="BE47" i="38"/>
  <c r="BD47" i="38"/>
  <c r="BC47" i="38"/>
  <c r="BB47" i="38"/>
  <c r="BA47" i="38"/>
  <c r="AZ47" i="38"/>
  <c r="AY47" i="38"/>
  <c r="AX47" i="38"/>
  <c r="AW47" i="38"/>
  <c r="AV47" i="38"/>
  <c r="AU47" i="38"/>
  <c r="AT47" i="38"/>
  <c r="AS47" i="38"/>
  <c r="BG46" i="38"/>
  <c r="BF46" i="38"/>
  <c r="BE46" i="38"/>
  <c r="BD46" i="38"/>
  <c r="BC46" i="38"/>
  <c r="BB46" i="38"/>
  <c r="BA46" i="38"/>
  <c r="AZ46" i="38"/>
  <c r="AY46" i="38"/>
  <c r="AX46" i="38"/>
  <c r="AW46" i="38"/>
  <c r="AV46" i="38"/>
  <c r="AU46" i="38"/>
  <c r="AT46" i="38"/>
  <c r="AS46" i="38"/>
  <c r="BG45" i="38"/>
  <c r="BF45" i="38"/>
  <c r="BE45" i="38"/>
  <c r="BD45" i="38"/>
  <c r="BC45" i="38"/>
  <c r="BB45" i="38"/>
  <c r="BA45" i="38"/>
  <c r="AZ45" i="38"/>
  <c r="AY45" i="38"/>
  <c r="AX45" i="38"/>
  <c r="AW45" i="38"/>
  <c r="AV45" i="38"/>
  <c r="AU45" i="38"/>
  <c r="AT45" i="38"/>
  <c r="AS45" i="38"/>
  <c r="BG44" i="38"/>
  <c r="BF44" i="38"/>
  <c r="BE44" i="38"/>
  <c r="BD44" i="38"/>
  <c r="BC44" i="38"/>
  <c r="BB44" i="38"/>
  <c r="BA44" i="38"/>
  <c r="AZ44" i="38"/>
  <c r="AY44" i="38"/>
  <c r="AX44" i="38"/>
  <c r="AW44" i="38"/>
  <c r="AV44" i="38"/>
  <c r="AU44" i="38"/>
  <c r="AT44" i="38"/>
  <c r="AS44" i="38"/>
  <c r="BG43" i="38"/>
  <c r="BF43" i="38"/>
  <c r="BE43" i="38"/>
  <c r="BD43" i="38"/>
  <c r="BC43" i="38"/>
  <c r="BB43" i="38"/>
  <c r="BA43" i="38"/>
  <c r="AZ43" i="38"/>
  <c r="AY43" i="38"/>
  <c r="AX43" i="38"/>
  <c r="AW43" i="38"/>
  <c r="AV43" i="38"/>
  <c r="AU43" i="38"/>
  <c r="AT43" i="38"/>
  <c r="AS43" i="38"/>
  <c r="BG42" i="38"/>
  <c r="BF42" i="38"/>
  <c r="BE42" i="38"/>
  <c r="BD42" i="38"/>
  <c r="BC42" i="38"/>
  <c r="BB42" i="38"/>
  <c r="BA42" i="38"/>
  <c r="AZ42" i="38"/>
  <c r="AY42" i="38"/>
  <c r="AX42" i="38"/>
  <c r="AW42" i="38"/>
  <c r="AV42" i="38"/>
  <c r="AU42" i="38"/>
  <c r="AT42" i="38"/>
  <c r="AS42" i="38"/>
  <c r="BG41" i="38"/>
  <c r="BF41" i="38"/>
  <c r="BE41" i="38"/>
  <c r="BD41" i="38"/>
  <c r="BC41" i="38"/>
  <c r="BB41" i="38"/>
  <c r="BA41" i="38"/>
  <c r="AZ41" i="38"/>
  <c r="AY41" i="38"/>
  <c r="AX41" i="38"/>
  <c r="AW41" i="38"/>
  <c r="AV41" i="38"/>
  <c r="AU41" i="38"/>
  <c r="AT41" i="38"/>
  <c r="AS41" i="38"/>
  <c r="BG40" i="38"/>
  <c r="BF40" i="38"/>
  <c r="BE40" i="38"/>
  <c r="BD40" i="38"/>
  <c r="BC40" i="38"/>
  <c r="BB40" i="38"/>
  <c r="BA40" i="38"/>
  <c r="AZ40" i="38"/>
  <c r="AY40" i="38"/>
  <c r="AX40" i="38"/>
  <c r="AW40" i="38"/>
  <c r="AV40" i="38"/>
  <c r="AU40" i="38"/>
  <c r="AT40" i="38"/>
  <c r="AS40" i="38"/>
  <c r="BG39" i="38"/>
  <c r="BF39" i="38"/>
  <c r="BE39" i="38"/>
  <c r="BD39" i="38"/>
  <c r="BC39" i="38"/>
  <c r="BB39" i="38"/>
  <c r="BA39" i="38"/>
  <c r="AZ39" i="38"/>
  <c r="AY39" i="38"/>
  <c r="AX39" i="38"/>
  <c r="AW39" i="38"/>
  <c r="AV39" i="38"/>
  <c r="AU39" i="38"/>
  <c r="AT39" i="38"/>
  <c r="AS39" i="38"/>
  <c r="BG38" i="38"/>
  <c r="BF38" i="38"/>
  <c r="BE38" i="38"/>
  <c r="BD38" i="38"/>
  <c r="BC38" i="38"/>
  <c r="BB38" i="38"/>
  <c r="BA38" i="38"/>
  <c r="AZ38" i="38"/>
  <c r="AY38" i="38"/>
  <c r="AX38" i="38"/>
  <c r="AW38" i="38"/>
  <c r="AV38" i="38"/>
  <c r="AU38" i="38"/>
  <c r="AT38" i="38"/>
  <c r="AS38" i="38"/>
  <c r="BG37" i="38"/>
  <c r="BF37" i="38"/>
  <c r="BE37" i="38"/>
  <c r="BD37" i="38"/>
  <c r="BC37" i="38"/>
  <c r="BB37" i="38"/>
  <c r="BA37" i="38"/>
  <c r="AZ37" i="38"/>
  <c r="AY37" i="38"/>
  <c r="AX37" i="38"/>
  <c r="AW37" i="38"/>
  <c r="AV37" i="38"/>
  <c r="AU37" i="38"/>
  <c r="AT37" i="38"/>
  <c r="AS37" i="38"/>
  <c r="BG36" i="38"/>
  <c r="BF36" i="38"/>
  <c r="BE36" i="38"/>
  <c r="BD36" i="38"/>
  <c r="BC36" i="38"/>
  <c r="BB36" i="38"/>
  <c r="BA36" i="38"/>
  <c r="AZ36" i="38"/>
  <c r="AY36" i="38"/>
  <c r="AX36" i="38"/>
  <c r="AW36" i="38"/>
  <c r="AV36" i="38"/>
  <c r="AU36" i="38"/>
  <c r="AT36" i="38"/>
  <c r="AS36" i="38"/>
  <c r="BG35" i="38"/>
  <c r="BF35" i="38"/>
  <c r="BE35" i="38"/>
  <c r="BD35" i="38"/>
  <c r="BC35" i="38"/>
  <c r="BB35" i="38"/>
  <c r="BA35" i="38"/>
  <c r="AZ35" i="38"/>
  <c r="AY35" i="38"/>
  <c r="AX35" i="38"/>
  <c r="AW35" i="38"/>
  <c r="AV35" i="38"/>
  <c r="AU35" i="38"/>
  <c r="AT35" i="38"/>
  <c r="AS35" i="38"/>
  <c r="BG34" i="38"/>
  <c r="BF34" i="38"/>
  <c r="BE34" i="38"/>
  <c r="BD34" i="38"/>
  <c r="BC34" i="38"/>
  <c r="BB34" i="38"/>
  <c r="BA34" i="38"/>
  <c r="AZ34" i="38"/>
  <c r="AY34" i="38"/>
  <c r="AX34" i="38"/>
  <c r="AW34" i="38"/>
  <c r="AV34" i="38"/>
  <c r="AU34" i="38"/>
  <c r="AT34" i="38"/>
  <c r="AS34" i="38"/>
  <c r="BG33" i="38"/>
  <c r="BF33" i="38"/>
  <c r="BE33" i="38"/>
  <c r="BD33" i="38"/>
  <c r="BC33" i="38"/>
  <c r="BB33" i="38"/>
  <c r="BA33" i="38"/>
  <c r="AZ33" i="38"/>
  <c r="AY33" i="38"/>
  <c r="AX33" i="38"/>
  <c r="AW33" i="38"/>
  <c r="AV33" i="38"/>
  <c r="AU33" i="38"/>
  <c r="AT33" i="38"/>
  <c r="AS33" i="38"/>
  <c r="BG32" i="38"/>
  <c r="BF32" i="38"/>
  <c r="BE32" i="38"/>
  <c r="BD32" i="38"/>
  <c r="BC32" i="38"/>
  <c r="BB32" i="38"/>
  <c r="BA32" i="38"/>
  <c r="AZ32" i="38"/>
  <c r="AY32" i="38"/>
  <c r="AX32" i="38"/>
  <c r="AW32" i="38"/>
  <c r="AV32" i="38"/>
  <c r="AU32" i="38"/>
  <c r="AT32" i="38"/>
  <c r="AS32" i="38"/>
  <c r="BG31" i="38"/>
  <c r="BF31" i="38"/>
  <c r="BE31" i="38"/>
  <c r="BD31" i="38"/>
  <c r="BC31" i="38"/>
  <c r="BB31" i="38"/>
  <c r="BA31" i="38"/>
  <c r="AZ31" i="38"/>
  <c r="AY31" i="38"/>
  <c r="AX31" i="38"/>
  <c r="AW31" i="38"/>
  <c r="AV31" i="38"/>
  <c r="AU31" i="38"/>
  <c r="AT31" i="38"/>
  <c r="AS31" i="38"/>
  <c r="BG30" i="38"/>
  <c r="BF30" i="38"/>
  <c r="BE30" i="38"/>
  <c r="BD30" i="38"/>
  <c r="BC30" i="38"/>
  <c r="BB30" i="38"/>
  <c r="BA30" i="38"/>
  <c r="AZ30" i="38"/>
  <c r="AY30" i="38"/>
  <c r="AX30" i="38"/>
  <c r="AW30" i="38"/>
  <c r="AV30" i="38"/>
  <c r="AU30" i="38"/>
  <c r="AT30" i="38"/>
  <c r="AS30" i="38"/>
  <c r="BG29" i="38"/>
  <c r="BF29" i="38"/>
  <c r="BE29" i="38"/>
  <c r="BD29" i="38"/>
  <c r="BC29" i="38"/>
  <c r="BB29" i="38"/>
  <c r="BA29" i="38"/>
  <c r="AZ29" i="38"/>
  <c r="AY29" i="38"/>
  <c r="AX29" i="38"/>
  <c r="AW29" i="38"/>
  <c r="AV29" i="38"/>
  <c r="AU29" i="38"/>
  <c r="AT29" i="38"/>
  <c r="AS29" i="38"/>
  <c r="BG28" i="38"/>
  <c r="BF28" i="38"/>
  <c r="BE28" i="38"/>
  <c r="BD28" i="38"/>
  <c r="BC28" i="38"/>
  <c r="BB28" i="38"/>
  <c r="BA28" i="38"/>
  <c r="AZ28" i="38"/>
  <c r="AY28" i="38"/>
  <c r="AX28" i="38"/>
  <c r="AW28" i="38"/>
  <c r="AV28" i="38"/>
  <c r="AU28" i="38"/>
  <c r="AT28" i="38"/>
  <c r="AS28" i="38"/>
  <c r="BG27" i="38"/>
  <c r="BF27" i="38"/>
  <c r="BE27" i="38"/>
  <c r="BD27" i="38"/>
  <c r="BC27" i="38"/>
  <c r="BB27" i="38"/>
  <c r="BA27" i="38"/>
  <c r="AZ27" i="38"/>
  <c r="AY27" i="38"/>
  <c r="AX27" i="38"/>
  <c r="AW27" i="38"/>
  <c r="AV27" i="38"/>
  <c r="AU27" i="38"/>
  <c r="AT27" i="38"/>
  <c r="AS27" i="38"/>
  <c r="BG26" i="38"/>
  <c r="BF26" i="38"/>
  <c r="BE26" i="38"/>
  <c r="BD26" i="38"/>
  <c r="BC26" i="38"/>
  <c r="BB26" i="38"/>
  <c r="BA26" i="38"/>
  <c r="AZ26" i="38"/>
  <c r="AY26" i="38"/>
  <c r="AX26" i="38"/>
  <c r="AW26" i="38"/>
  <c r="AV26" i="38"/>
  <c r="AU26" i="38"/>
  <c r="AT26" i="38"/>
  <c r="AS26" i="38"/>
  <c r="H26" i="38"/>
  <c r="E26" i="38"/>
  <c r="C26" i="38"/>
  <c r="BG25" i="38"/>
  <c r="BF25" i="38"/>
  <c r="BE25" i="38"/>
  <c r="BD25" i="38"/>
  <c r="BC25" i="38"/>
  <c r="BB25" i="38"/>
  <c r="BA25" i="38"/>
  <c r="AZ25" i="38"/>
  <c r="AY25" i="38"/>
  <c r="AX25" i="38"/>
  <c r="AW25" i="38"/>
  <c r="AV25" i="38"/>
  <c r="AU25" i="38"/>
  <c r="AT25" i="38"/>
  <c r="AS25" i="38"/>
  <c r="E25" i="38"/>
  <c r="BG24" i="38"/>
  <c r="BF24" i="38"/>
  <c r="BE24" i="38"/>
  <c r="BD24" i="38"/>
  <c r="BC24" i="38"/>
  <c r="BB24" i="38"/>
  <c r="BA24" i="38"/>
  <c r="AZ24" i="38"/>
  <c r="AY24" i="38"/>
  <c r="AX24" i="38"/>
  <c r="AW24" i="38"/>
  <c r="AV24" i="38"/>
  <c r="AU24" i="38"/>
  <c r="AT24" i="38"/>
  <c r="AS24" i="38"/>
  <c r="BG23" i="38"/>
  <c r="BF23" i="38"/>
  <c r="BE23" i="38"/>
  <c r="BD23" i="38"/>
  <c r="BC23" i="38"/>
  <c r="BB23" i="38"/>
  <c r="BA23" i="38"/>
  <c r="AZ23" i="38"/>
  <c r="AY23" i="38"/>
  <c r="AX23" i="38"/>
  <c r="AW23" i="38"/>
  <c r="AV23" i="38"/>
  <c r="AU23" i="38"/>
  <c r="AT23" i="38"/>
  <c r="AS23" i="38"/>
  <c r="G23" i="38"/>
  <c r="G24" i="38" s="1"/>
  <c r="BG22" i="38"/>
  <c r="BF22" i="38"/>
  <c r="BE22" i="38"/>
  <c r="BD22" i="38"/>
  <c r="BC22" i="38"/>
  <c r="BB22" i="38"/>
  <c r="BA22" i="38"/>
  <c r="AZ22" i="38"/>
  <c r="AY22" i="38"/>
  <c r="AX22" i="38"/>
  <c r="AW22" i="38"/>
  <c r="AV22" i="38"/>
  <c r="AU22" i="38"/>
  <c r="AT22" i="38"/>
  <c r="AS22" i="38"/>
  <c r="BG21" i="38"/>
  <c r="BF21" i="38"/>
  <c r="BE21" i="38"/>
  <c r="BD21" i="38"/>
  <c r="BC21" i="38"/>
  <c r="BB21" i="38"/>
  <c r="BA21" i="38"/>
  <c r="AZ21" i="38"/>
  <c r="AY21" i="38"/>
  <c r="AX21" i="38"/>
  <c r="AW21" i="38"/>
  <c r="AV21" i="38"/>
  <c r="AU21" i="38"/>
  <c r="AT21" i="38"/>
  <c r="AS21" i="38"/>
  <c r="AN21" i="38"/>
  <c r="AM21" i="38"/>
  <c r="AL21" i="38"/>
  <c r="AK21" i="38"/>
  <c r="AJ21" i="38"/>
  <c r="AI21" i="38"/>
  <c r="AH21" i="38"/>
  <c r="AG21" i="38"/>
  <c r="AF21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BG20" i="38"/>
  <c r="BF20" i="38"/>
  <c r="BE20" i="38"/>
  <c r="BD20" i="38"/>
  <c r="BC20" i="38"/>
  <c r="BB20" i="38"/>
  <c r="BA20" i="38"/>
  <c r="AZ20" i="38"/>
  <c r="AY20" i="38"/>
  <c r="AX20" i="38"/>
  <c r="AW20" i="38"/>
  <c r="AV20" i="38"/>
  <c r="AU20" i="38"/>
  <c r="AT20" i="38"/>
  <c r="AS20" i="38"/>
  <c r="BG19" i="38"/>
  <c r="BF19" i="38"/>
  <c r="BE19" i="38"/>
  <c r="BD19" i="38"/>
  <c r="BC19" i="38"/>
  <c r="BB19" i="38"/>
  <c r="BA19" i="38"/>
  <c r="AZ19" i="38"/>
  <c r="AY19" i="38"/>
  <c r="AX19" i="38"/>
  <c r="AW19" i="38"/>
  <c r="AV19" i="38"/>
  <c r="AU19" i="38"/>
  <c r="AT19" i="38"/>
  <c r="AS19" i="38"/>
  <c r="BG18" i="38"/>
  <c r="BF18" i="38"/>
  <c r="BE18" i="38"/>
  <c r="BD18" i="38"/>
  <c r="BC18" i="38"/>
  <c r="BB18" i="38"/>
  <c r="BA18" i="38"/>
  <c r="AZ18" i="38"/>
  <c r="AY18" i="38"/>
  <c r="AX18" i="38"/>
  <c r="AW18" i="38"/>
  <c r="AV18" i="38"/>
  <c r="AU18" i="38"/>
  <c r="AT18" i="38"/>
  <c r="AS18" i="38"/>
  <c r="AK18" i="38"/>
  <c r="AH18" i="38"/>
  <c r="AE18" i="38"/>
  <c r="I18" i="38"/>
  <c r="D18" i="38"/>
  <c r="C25" i="38" s="1"/>
  <c r="BG17" i="38"/>
  <c r="BF17" i="38"/>
  <c r="BE17" i="38"/>
  <c r="BD17" i="38"/>
  <c r="BC17" i="38"/>
  <c r="BB17" i="38"/>
  <c r="BA17" i="38"/>
  <c r="AZ17" i="38"/>
  <c r="AY17" i="38"/>
  <c r="AX17" i="38"/>
  <c r="AW17" i="38"/>
  <c r="AV17" i="38"/>
  <c r="AU17" i="38"/>
  <c r="AT17" i="38"/>
  <c r="AS17" i="38"/>
  <c r="BG16" i="38"/>
  <c r="BF16" i="38"/>
  <c r="BE16" i="38"/>
  <c r="BD16" i="38"/>
  <c r="BC16" i="38"/>
  <c r="BB16" i="38"/>
  <c r="BA16" i="38"/>
  <c r="AZ16" i="38"/>
  <c r="AY16" i="38"/>
  <c r="AX16" i="38"/>
  <c r="AW16" i="38"/>
  <c r="AV16" i="38"/>
  <c r="AU16" i="38"/>
  <c r="AT16" i="38"/>
  <c r="AS16" i="38"/>
  <c r="AN16" i="38"/>
  <c r="AM16" i="38"/>
  <c r="AL16" i="38"/>
  <c r="AK16" i="38"/>
  <c r="AJ16" i="38"/>
  <c r="AI16" i="38"/>
  <c r="AH16" i="38"/>
  <c r="AG16" i="38"/>
  <c r="AF16" i="38"/>
  <c r="AE16" i="38"/>
  <c r="AD16" i="38"/>
  <c r="AC16" i="38"/>
  <c r="AB16" i="38"/>
  <c r="AA16" i="38"/>
  <c r="Z16" i="38"/>
  <c r="Y16" i="38"/>
  <c r="X16" i="38"/>
  <c r="W16" i="38"/>
  <c r="V16" i="38"/>
  <c r="U16" i="38"/>
  <c r="T16" i="38"/>
  <c r="S16" i="38"/>
  <c r="R16" i="38"/>
  <c r="Q16" i="38"/>
  <c r="P16" i="38"/>
  <c r="O16" i="38"/>
  <c r="N16" i="38"/>
  <c r="M16" i="38"/>
  <c r="L16" i="38"/>
  <c r="K16" i="38"/>
  <c r="J16" i="38"/>
  <c r="I16" i="38"/>
  <c r="H16" i="38"/>
  <c r="G16" i="38"/>
  <c r="BG15" i="38"/>
  <c r="BF15" i="38"/>
  <c r="BE15" i="38"/>
  <c r="BD15" i="38"/>
  <c r="BC15" i="38"/>
  <c r="BB15" i="38"/>
  <c r="BA15" i="38"/>
  <c r="AZ15" i="38"/>
  <c r="AY15" i="38"/>
  <c r="AX15" i="38"/>
  <c r="AW15" i="38"/>
  <c r="AV15" i="38"/>
  <c r="AU15" i="38"/>
  <c r="AT15" i="38"/>
  <c r="AS15" i="38"/>
  <c r="BG14" i="38"/>
  <c r="BF14" i="38"/>
  <c r="BE14" i="38"/>
  <c r="BD14" i="38"/>
  <c r="BC14" i="38"/>
  <c r="BB14" i="38"/>
  <c r="BA14" i="38"/>
  <c r="AZ14" i="38"/>
  <c r="AY14" i="38"/>
  <c r="AX14" i="38"/>
  <c r="AW14" i="38"/>
  <c r="AV14" i="38"/>
  <c r="AU14" i="38"/>
  <c r="AT14" i="38"/>
  <c r="AS14" i="38"/>
  <c r="AP14" i="38"/>
  <c r="E14" i="38"/>
  <c r="BG13" i="38"/>
  <c r="BF13" i="38"/>
  <c r="BE13" i="38"/>
  <c r="BD13" i="38"/>
  <c r="BC13" i="38"/>
  <c r="BB13" i="38"/>
  <c r="BA13" i="38"/>
  <c r="AZ13" i="38"/>
  <c r="AY13" i="38"/>
  <c r="AX13" i="38"/>
  <c r="AW13" i="38"/>
  <c r="AV13" i="38"/>
  <c r="AU13" i="38"/>
  <c r="AT13" i="38"/>
  <c r="AS13" i="38"/>
  <c r="E13" i="38"/>
  <c r="BG12" i="38"/>
  <c r="BF12" i="38"/>
  <c r="BE12" i="38"/>
  <c r="BD12" i="38"/>
  <c r="BC12" i="38"/>
  <c r="BB12" i="38"/>
  <c r="BA12" i="38"/>
  <c r="AZ12" i="38"/>
  <c r="AY12" i="38"/>
  <c r="AX12" i="38"/>
  <c r="AW12" i="38"/>
  <c r="AV12" i="38"/>
  <c r="AU12" i="38"/>
  <c r="AT12" i="38"/>
  <c r="AS12" i="38"/>
  <c r="E12" i="38"/>
  <c r="BG11" i="38"/>
  <c r="BF11" i="38"/>
  <c r="BE11" i="38"/>
  <c r="BD11" i="38"/>
  <c r="BC11" i="38"/>
  <c r="BB11" i="38"/>
  <c r="BA11" i="38"/>
  <c r="AZ11" i="38"/>
  <c r="AY11" i="38"/>
  <c r="AX11" i="38"/>
  <c r="AW11" i="38"/>
  <c r="AV11" i="38"/>
  <c r="AU11" i="38"/>
  <c r="AT11" i="38"/>
  <c r="AS11" i="38"/>
  <c r="AP11" i="38"/>
  <c r="E11" i="38"/>
  <c r="BG10" i="38"/>
  <c r="BF10" i="38"/>
  <c r="BE10" i="38"/>
  <c r="BD10" i="38"/>
  <c r="BC10" i="38"/>
  <c r="BB10" i="38"/>
  <c r="BA10" i="38"/>
  <c r="AZ10" i="38"/>
  <c r="AY10" i="38"/>
  <c r="AX10" i="38"/>
  <c r="AW10" i="38"/>
  <c r="AV10" i="38"/>
  <c r="AU10" i="38"/>
  <c r="AT10" i="38"/>
  <c r="AS10" i="38"/>
  <c r="E10" i="38"/>
  <c r="BG9" i="38"/>
  <c r="BF9" i="38"/>
  <c r="BE9" i="38"/>
  <c r="BD9" i="38"/>
  <c r="BC9" i="38"/>
  <c r="BB9" i="38"/>
  <c r="BA9" i="38"/>
  <c r="AZ9" i="38"/>
  <c r="AY9" i="38"/>
  <c r="AX9" i="38"/>
  <c r="AW9" i="38"/>
  <c r="AV9" i="38"/>
  <c r="AU9" i="38"/>
  <c r="AT9" i="38"/>
  <c r="AS9" i="38"/>
  <c r="AP9" i="38"/>
  <c r="E9" i="38"/>
  <c r="BG8" i="38"/>
  <c r="BF8" i="38"/>
  <c r="BE8" i="38"/>
  <c r="BD8" i="38"/>
  <c r="BC8" i="38"/>
  <c r="BB8" i="38"/>
  <c r="BA8" i="38"/>
  <c r="AZ8" i="38"/>
  <c r="AY8" i="38"/>
  <c r="AX8" i="38"/>
  <c r="AW8" i="38"/>
  <c r="AV8" i="38"/>
  <c r="AU8" i="38"/>
  <c r="AT8" i="38"/>
  <c r="AS8" i="38"/>
  <c r="E8" i="38"/>
  <c r="BG7" i="38"/>
  <c r="BF7" i="38"/>
  <c r="BE7" i="38"/>
  <c r="BD7" i="38"/>
  <c r="BC7" i="38"/>
  <c r="BB7" i="38"/>
  <c r="BA7" i="38"/>
  <c r="AZ7" i="38"/>
  <c r="AY7" i="38"/>
  <c r="AX7" i="38"/>
  <c r="AW7" i="38"/>
  <c r="AV7" i="38"/>
  <c r="AU7" i="38"/>
  <c r="AT7" i="38"/>
  <c r="AS7" i="38"/>
  <c r="AP7" i="38"/>
  <c r="E7" i="38"/>
  <c r="BG6" i="38"/>
  <c r="BF6" i="38"/>
  <c r="BE6" i="38"/>
  <c r="BD6" i="38"/>
  <c r="BC6" i="38"/>
  <c r="BB6" i="38"/>
  <c r="BA6" i="38"/>
  <c r="AZ6" i="38"/>
  <c r="AY6" i="38"/>
  <c r="AX6" i="38"/>
  <c r="AW6" i="38"/>
  <c r="AV6" i="38"/>
  <c r="AU6" i="38"/>
  <c r="AT6" i="38"/>
  <c r="AS6" i="38"/>
  <c r="E6" i="38"/>
  <c r="BG5" i="38"/>
  <c r="BF5" i="38"/>
  <c r="BE5" i="38"/>
  <c r="BD5" i="38"/>
  <c r="BC5" i="38"/>
  <c r="BB5" i="38"/>
  <c r="BA5" i="38"/>
  <c r="AZ5" i="38"/>
  <c r="AY5" i="38"/>
  <c r="AX5" i="38"/>
  <c r="AW5" i="38"/>
  <c r="AV5" i="38"/>
  <c r="AU5" i="38"/>
  <c r="AT5" i="38"/>
  <c r="AS5" i="38"/>
  <c r="E5" i="38"/>
  <c r="BG4" i="38"/>
  <c r="BF4" i="38"/>
  <c r="BE4" i="38"/>
  <c r="BD4" i="38"/>
  <c r="BC4" i="38"/>
  <c r="BB4" i="38"/>
  <c r="BA4" i="38"/>
  <c r="AZ4" i="38"/>
  <c r="AY4" i="38"/>
  <c r="AX4" i="38"/>
  <c r="AW4" i="38"/>
  <c r="AV4" i="38"/>
  <c r="AU4" i="38"/>
  <c r="AT4" i="38"/>
  <c r="AS4" i="38"/>
  <c r="AP4" i="38"/>
  <c r="E4" i="38"/>
  <c r="E18" i="38" s="1"/>
  <c r="BG3" i="38"/>
  <c r="BF3" i="38"/>
  <c r="BE3" i="38"/>
  <c r="BD3" i="38"/>
  <c r="BC3" i="38"/>
  <c r="BB3" i="38"/>
  <c r="BA3" i="38"/>
  <c r="AZ3" i="38"/>
  <c r="AY3" i="38"/>
  <c r="AX3" i="38"/>
  <c r="AW3" i="38"/>
  <c r="AV3" i="38"/>
  <c r="AU3" i="38"/>
  <c r="AT3" i="38"/>
  <c r="AS3" i="38"/>
  <c r="BG2" i="38"/>
  <c r="BF2" i="38"/>
  <c r="BE2" i="38"/>
  <c r="BD2" i="38"/>
  <c r="BC2" i="38"/>
  <c r="BB2" i="38"/>
  <c r="BA2" i="38"/>
  <c r="AZ2" i="38"/>
  <c r="AY2" i="38"/>
  <c r="AX2" i="38"/>
  <c r="AW2" i="38"/>
  <c r="AV2" i="38"/>
  <c r="AU2" i="38"/>
  <c r="AT2" i="38"/>
  <c r="AS2" i="38"/>
  <c r="BG62" i="37"/>
  <c r="BF62" i="37"/>
  <c r="BE62" i="37"/>
  <c r="BD62" i="37"/>
  <c r="BC62" i="37"/>
  <c r="BB62" i="37"/>
  <c r="BA62" i="37"/>
  <c r="AZ62" i="37"/>
  <c r="AY62" i="37"/>
  <c r="AX62" i="37"/>
  <c r="AW62" i="37"/>
  <c r="AV62" i="37"/>
  <c r="AU62" i="37"/>
  <c r="AT62" i="37"/>
  <c r="AS62" i="37"/>
  <c r="BG61" i="37"/>
  <c r="BF61" i="37"/>
  <c r="BE61" i="37"/>
  <c r="BD61" i="37"/>
  <c r="BC61" i="37"/>
  <c r="BB61" i="37"/>
  <c r="BA61" i="37"/>
  <c r="AZ61" i="37"/>
  <c r="AY61" i="37"/>
  <c r="AX61" i="37"/>
  <c r="AW61" i="37"/>
  <c r="AV61" i="37"/>
  <c r="AU61" i="37"/>
  <c r="AT61" i="37"/>
  <c r="AS61" i="37"/>
  <c r="BG60" i="37"/>
  <c r="BF60" i="37"/>
  <c r="BE60" i="37"/>
  <c r="BD60" i="37"/>
  <c r="BC60" i="37"/>
  <c r="BB60" i="37"/>
  <c r="BA60" i="37"/>
  <c r="AZ60" i="37"/>
  <c r="AY60" i="37"/>
  <c r="AX60" i="37"/>
  <c r="AW60" i="37"/>
  <c r="AV60" i="37"/>
  <c r="AU60" i="37"/>
  <c r="AT60" i="37"/>
  <c r="AS60" i="37"/>
  <c r="BG59" i="37"/>
  <c r="BF59" i="37"/>
  <c r="BE59" i="37"/>
  <c r="BD59" i="37"/>
  <c r="BC59" i="37"/>
  <c r="BB59" i="37"/>
  <c r="BA59" i="37"/>
  <c r="AZ59" i="37"/>
  <c r="AY59" i="37"/>
  <c r="AX59" i="37"/>
  <c r="AW59" i="37"/>
  <c r="AV59" i="37"/>
  <c r="AU59" i="37"/>
  <c r="AT59" i="37"/>
  <c r="AS59" i="37"/>
  <c r="BG58" i="37"/>
  <c r="BF58" i="37"/>
  <c r="BE58" i="37"/>
  <c r="BD58" i="37"/>
  <c r="BC58" i="37"/>
  <c r="BB58" i="37"/>
  <c r="BA58" i="37"/>
  <c r="AZ58" i="37"/>
  <c r="AY58" i="37"/>
  <c r="AX58" i="37"/>
  <c r="AW58" i="37"/>
  <c r="AV58" i="37"/>
  <c r="AU58" i="37"/>
  <c r="AT58" i="37"/>
  <c r="AS58" i="37"/>
  <c r="BG57" i="37"/>
  <c r="BF57" i="37"/>
  <c r="BE57" i="37"/>
  <c r="BD57" i="37"/>
  <c r="BC57" i="37"/>
  <c r="BB57" i="37"/>
  <c r="BA57" i="37"/>
  <c r="AZ57" i="37"/>
  <c r="AY57" i="37"/>
  <c r="AX57" i="37"/>
  <c r="AW57" i="37"/>
  <c r="AV57" i="37"/>
  <c r="AU57" i="37"/>
  <c r="AT57" i="37"/>
  <c r="AS57" i="37"/>
  <c r="BG56" i="37"/>
  <c r="BF56" i="37"/>
  <c r="BE56" i="37"/>
  <c r="BD56" i="37"/>
  <c r="BC56" i="37"/>
  <c r="BB56" i="37"/>
  <c r="BA56" i="37"/>
  <c r="AZ56" i="37"/>
  <c r="AY56" i="37"/>
  <c r="AX56" i="37"/>
  <c r="AW56" i="37"/>
  <c r="AV56" i="37"/>
  <c r="AU56" i="37"/>
  <c r="AT56" i="37"/>
  <c r="AS56" i="37"/>
  <c r="BG55" i="37"/>
  <c r="BF55" i="37"/>
  <c r="BE55" i="37"/>
  <c r="BD55" i="37"/>
  <c r="BC55" i="37"/>
  <c r="BB55" i="37"/>
  <c r="BA55" i="37"/>
  <c r="AZ55" i="37"/>
  <c r="AY55" i="37"/>
  <c r="AX55" i="37"/>
  <c r="AW55" i="37"/>
  <c r="AV55" i="37"/>
  <c r="AU55" i="37"/>
  <c r="AT55" i="37"/>
  <c r="AS55" i="37"/>
  <c r="BG54" i="37"/>
  <c r="BF54" i="37"/>
  <c r="BE54" i="37"/>
  <c r="BD54" i="37"/>
  <c r="BC54" i="37"/>
  <c r="BB54" i="37"/>
  <c r="BA54" i="37"/>
  <c r="AZ54" i="37"/>
  <c r="AY54" i="37"/>
  <c r="AX54" i="37"/>
  <c r="AW54" i="37"/>
  <c r="AV54" i="37"/>
  <c r="AU54" i="37"/>
  <c r="AT54" i="37"/>
  <c r="AS54" i="37"/>
  <c r="BG53" i="37"/>
  <c r="BF53" i="37"/>
  <c r="BE53" i="37"/>
  <c r="BD53" i="37"/>
  <c r="BC53" i="37"/>
  <c r="BB53" i="37"/>
  <c r="BA53" i="37"/>
  <c r="AZ53" i="37"/>
  <c r="AY53" i="37"/>
  <c r="AX53" i="37"/>
  <c r="AW53" i="37"/>
  <c r="AV53" i="37"/>
  <c r="AU53" i="37"/>
  <c r="AT53" i="37"/>
  <c r="AS53" i="37"/>
  <c r="BG52" i="37"/>
  <c r="BF52" i="37"/>
  <c r="BE52" i="37"/>
  <c r="BD52" i="37"/>
  <c r="BC52" i="37"/>
  <c r="BB52" i="37"/>
  <c r="BA52" i="37"/>
  <c r="AZ52" i="37"/>
  <c r="AY52" i="37"/>
  <c r="AX52" i="37"/>
  <c r="AW52" i="37"/>
  <c r="AV52" i="37"/>
  <c r="AU52" i="37"/>
  <c r="AT52" i="37"/>
  <c r="AS52" i="37"/>
  <c r="BG51" i="37"/>
  <c r="BF51" i="37"/>
  <c r="BE51" i="37"/>
  <c r="BD51" i="37"/>
  <c r="BC51" i="37"/>
  <c r="BB51" i="37"/>
  <c r="BA51" i="37"/>
  <c r="AZ51" i="37"/>
  <c r="AY51" i="37"/>
  <c r="AX51" i="37"/>
  <c r="AW51" i="37"/>
  <c r="AV51" i="37"/>
  <c r="AU51" i="37"/>
  <c r="AT51" i="37"/>
  <c r="AS51" i="37"/>
  <c r="BG50" i="37"/>
  <c r="BF50" i="37"/>
  <c r="BE50" i="37"/>
  <c r="BD50" i="37"/>
  <c r="BC50" i="37"/>
  <c r="BB50" i="37"/>
  <c r="BA50" i="37"/>
  <c r="AZ50" i="37"/>
  <c r="AY50" i="37"/>
  <c r="AX50" i="37"/>
  <c r="AW50" i="37"/>
  <c r="AV50" i="37"/>
  <c r="AU50" i="37"/>
  <c r="AT50" i="37"/>
  <c r="AS50" i="37"/>
  <c r="BG49" i="37"/>
  <c r="BF49" i="37"/>
  <c r="BE49" i="37"/>
  <c r="BD49" i="37"/>
  <c r="BC49" i="37"/>
  <c r="BB49" i="37"/>
  <c r="BA49" i="37"/>
  <c r="AZ49" i="37"/>
  <c r="AY49" i="37"/>
  <c r="AX49" i="37"/>
  <c r="AW49" i="37"/>
  <c r="AV49" i="37"/>
  <c r="AU49" i="37"/>
  <c r="AT49" i="37"/>
  <c r="AS49" i="37"/>
  <c r="BG48" i="37"/>
  <c r="BF48" i="37"/>
  <c r="BE48" i="37"/>
  <c r="BD48" i="37"/>
  <c r="BC48" i="37"/>
  <c r="BB48" i="37"/>
  <c r="BA48" i="37"/>
  <c r="AZ48" i="37"/>
  <c r="AY48" i="37"/>
  <c r="AX48" i="37"/>
  <c r="AW48" i="37"/>
  <c r="AV48" i="37"/>
  <c r="AU48" i="37"/>
  <c r="AT48" i="37"/>
  <c r="AS48" i="37"/>
  <c r="BG47" i="37"/>
  <c r="BF47" i="37"/>
  <c r="BE47" i="37"/>
  <c r="BD47" i="37"/>
  <c r="BC47" i="37"/>
  <c r="BB47" i="37"/>
  <c r="BA47" i="37"/>
  <c r="AZ47" i="37"/>
  <c r="AY47" i="37"/>
  <c r="AX47" i="37"/>
  <c r="AW47" i="37"/>
  <c r="AV47" i="37"/>
  <c r="AU47" i="37"/>
  <c r="AT47" i="37"/>
  <c r="AS47" i="37"/>
  <c r="BG46" i="37"/>
  <c r="BF46" i="37"/>
  <c r="BE46" i="37"/>
  <c r="BD46" i="37"/>
  <c r="BC46" i="37"/>
  <c r="BB46" i="37"/>
  <c r="BA46" i="37"/>
  <c r="AZ46" i="37"/>
  <c r="AY46" i="37"/>
  <c r="AX46" i="37"/>
  <c r="AW46" i="37"/>
  <c r="AV46" i="37"/>
  <c r="AU46" i="37"/>
  <c r="AT46" i="37"/>
  <c r="AS46" i="37"/>
  <c r="BG45" i="37"/>
  <c r="BF45" i="37"/>
  <c r="BE45" i="37"/>
  <c r="BD45" i="37"/>
  <c r="BC45" i="37"/>
  <c r="BB45" i="37"/>
  <c r="BA45" i="37"/>
  <c r="AZ45" i="37"/>
  <c r="AY45" i="37"/>
  <c r="AX45" i="37"/>
  <c r="AW45" i="37"/>
  <c r="AV45" i="37"/>
  <c r="AU45" i="37"/>
  <c r="AT45" i="37"/>
  <c r="AS45" i="37"/>
  <c r="BG44" i="37"/>
  <c r="BF44" i="37"/>
  <c r="BE44" i="37"/>
  <c r="BD44" i="37"/>
  <c r="BC44" i="37"/>
  <c r="BB44" i="37"/>
  <c r="BA44" i="37"/>
  <c r="AZ44" i="37"/>
  <c r="AY44" i="37"/>
  <c r="AX44" i="37"/>
  <c r="AW44" i="37"/>
  <c r="AV44" i="37"/>
  <c r="AU44" i="37"/>
  <c r="AT44" i="37"/>
  <c r="AS44" i="37"/>
  <c r="BG43" i="37"/>
  <c r="BF43" i="37"/>
  <c r="BE43" i="37"/>
  <c r="BD43" i="37"/>
  <c r="BC43" i="37"/>
  <c r="BB43" i="37"/>
  <c r="BA43" i="37"/>
  <c r="AZ43" i="37"/>
  <c r="AY43" i="37"/>
  <c r="AX43" i="37"/>
  <c r="AW43" i="37"/>
  <c r="AV43" i="37"/>
  <c r="AU43" i="37"/>
  <c r="AT43" i="37"/>
  <c r="AS43" i="37"/>
  <c r="BG42" i="37"/>
  <c r="BF42" i="37"/>
  <c r="BE42" i="37"/>
  <c r="BD42" i="37"/>
  <c r="BC42" i="37"/>
  <c r="BB42" i="37"/>
  <c r="BA42" i="37"/>
  <c r="AZ42" i="37"/>
  <c r="AY42" i="37"/>
  <c r="AX42" i="37"/>
  <c r="AW42" i="37"/>
  <c r="AV42" i="37"/>
  <c r="AU42" i="37"/>
  <c r="AT42" i="37"/>
  <c r="AS42" i="37"/>
  <c r="BG41" i="37"/>
  <c r="BF41" i="37"/>
  <c r="BE41" i="37"/>
  <c r="BD41" i="37"/>
  <c r="BC41" i="37"/>
  <c r="BB41" i="37"/>
  <c r="BA41" i="37"/>
  <c r="AZ41" i="37"/>
  <c r="AY41" i="37"/>
  <c r="AX41" i="37"/>
  <c r="AW41" i="37"/>
  <c r="AV41" i="37"/>
  <c r="AU41" i="37"/>
  <c r="AT41" i="37"/>
  <c r="AS41" i="37"/>
  <c r="BG40" i="37"/>
  <c r="BF40" i="37"/>
  <c r="BE40" i="37"/>
  <c r="BD40" i="37"/>
  <c r="BC40" i="37"/>
  <c r="BB40" i="37"/>
  <c r="BA40" i="37"/>
  <c r="AZ40" i="37"/>
  <c r="AY40" i="37"/>
  <c r="AX40" i="37"/>
  <c r="AW40" i="37"/>
  <c r="AV40" i="37"/>
  <c r="AU40" i="37"/>
  <c r="AT40" i="37"/>
  <c r="AS40" i="37"/>
  <c r="BG39" i="37"/>
  <c r="BF39" i="37"/>
  <c r="BE39" i="37"/>
  <c r="BD39" i="37"/>
  <c r="BC39" i="37"/>
  <c r="BB39" i="37"/>
  <c r="BA39" i="37"/>
  <c r="AZ39" i="37"/>
  <c r="AY39" i="37"/>
  <c r="AX39" i="37"/>
  <c r="AW39" i="37"/>
  <c r="AV39" i="37"/>
  <c r="AU39" i="37"/>
  <c r="AT39" i="37"/>
  <c r="AS39" i="37"/>
  <c r="BG38" i="37"/>
  <c r="BF38" i="37"/>
  <c r="BE38" i="37"/>
  <c r="BD38" i="37"/>
  <c r="BC38" i="37"/>
  <c r="BB38" i="37"/>
  <c r="BA38" i="37"/>
  <c r="AZ38" i="37"/>
  <c r="AY38" i="37"/>
  <c r="AX38" i="37"/>
  <c r="AW38" i="37"/>
  <c r="AV38" i="37"/>
  <c r="AU38" i="37"/>
  <c r="AT38" i="37"/>
  <c r="AS38" i="37"/>
  <c r="BG37" i="37"/>
  <c r="BF37" i="37"/>
  <c r="BE37" i="37"/>
  <c r="BD37" i="37"/>
  <c r="BC37" i="37"/>
  <c r="BB37" i="37"/>
  <c r="BA37" i="37"/>
  <c r="AZ37" i="37"/>
  <c r="AY37" i="37"/>
  <c r="AX37" i="37"/>
  <c r="AW37" i="37"/>
  <c r="AV37" i="37"/>
  <c r="AU37" i="37"/>
  <c r="AT37" i="37"/>
  <c r="AS37" i="37"/>
  <c r="BG36" i="37"/>
  <c r="BF36" i="37"/>
  <c r="BE36" i="37"/>
  <c r="BD36" i="37"/>
  <c r="BC36" i="37"/>
  <c r="BB36" i="37"/>
  <c r="BA36" i="37"/>
  <c r="AZ36" i="37"/>
  <c r="AY36" i="37"/>
  <c r="AX36" i="37"/>
  <c r="AW36" i="37"/>
  <c r="AV36" i="37"/>
  <c r="AU36" i="37"/>
  <c r="AT36" i="37"/>
  <c r="AS36" i="37"/>
  <c r="BG35" i="37"/>
  <c r="BF35" i="37"/>
  <c r="BE35" i="37"/>
  <c r="BD35" i="37"/>
  <c r="BC35" i="37"/>
  <c r="BB35" i="37"/>
  <c r="BA35" i="37"/>
  <c r="AZ35" i="37"/>
  <c r="AY35" i="37"/>
  <c r="AX35" i="37"/>
  <c r="AW35" i="37"/>
  <c r="AV35" i="37"/>
  <c r="AU35" i="37"/>
  <c r="AT35" i="37"/>
  <c r="AS35" i="37"/>
  <c r="BG34" i="37"/>
  <c r="BF34" i="37"/>
  <c r="BE34" i="37"/>
  <c r="BD34" i="37"/>
  <c r="BC34" i="37"/>
  <c r="BB34" i="37"/>
  <c r="BA34" i="37"/>
  <c r="AZ34" i="37"/>
  <c r="AY34" i="37"/>
  <c r="AX34" i="37"/>
  <c r="AW34" i="37"/>
  <c r="AV34" i="37"/>
  <c r="AU34" i="37"/>
  <c r="AT34" i="37"/>
  <c r="AS34" i="37"/>
  <c r="BG33" i="37"/>
  <c r="BF33" i="37"/>
  <c r="BE33" i="37"/>
  <c r="BD33" i="37"/>
  <c r="BC33" i="37"/>
  <c r="BB33" i="37"/>
  <c r="BA33" i="37"/>
  <c r="AZ33" i="37"/>
  <c r="AY33" i="37"/>
  <c r="AX33" i="37"/>
  <c r="AW33" i="37"/>
  <c r="AV33" i="37"/>
  <c r="AU33" i="37"/>
  <c r="AT33" i="37"/>
  <c r="AS33" i="37"/>
  <c r="BG32" i="37"/>
  <c r="BF32" i="37"/>
  <c r="BE32" i="37"/>
  <c r="BD32" i="37"/>
  <c r="BC32" i="37"/>
  <c r="BB32" i="37"/>
  <c r="BA32" i="37"/>
  <c r="AZ32" i="37"/>
  <c r="AY32" i="37"/>
  <c r="AX32" i="37"/>
  <c r="AW32" i="37"/>
  <c r="AV32" i="37"/>
  <c r="AU32" i="37"/>
  <c r="AT32" i="37"/>
  <c r="AS32" i="37"/>
  <c r="BG31" i="37"/>
  <c r="BF31" i="37"/>
  <c r="BE31" i="37"/>
  <c r="BD31" i="37"/>
  <c r="BC31" i="37"/>
  <c r="BB31" i="37"/>
  <c r="BA31" i="37"/>
  <c r="AZ31" i="37"/>
  <c r="AY31" i="37"/>
  <c r="AX31" i="37"/>
  <c r="AW31" i="37"/>
  <c r="AV31" i="37"/>
  <c r="AU31" i="37"/>
  <c r="AT31" i="37"/>
  <c r="AS31" i="37"/>
  <c r="BG30" i="37"/>
  <c r="BF30" i="37"/>
  <c r="BE30" i="37"/>
  <c r="BD30" i="37"/>
  <c r="BC30" i="37"/>
  <c r="BB30" i="37"/>
  <c r="BA30" i="37"/>
  <c r="AZ30" i="37"/>
  <c r="AY30" i="37"/>
  <c r="AX30" i="37"/>
  <c r="AW30" i="37"/>
  <c r="AV30" i="37"/>
  <c r="AU30" i="37"/>
  <c r="AT30" i="37"/>
  <c r="AS30" i="37"/>
  <c r="BG29" i="37"/>
  <c r="BF29" i="37"/>
  <c r="BE29" i="37"/>
  <c r="BD29" i="37"/>
  <c r="BC29" i="37"/>
  <c r="BB29" i="37"/>
  <c r="BA29" i="37"/>
  <c r="AZ29" i="37"/>
  <c r="AY29" i="37"/>
  <c r="AX29" i="37"/>
  <c r="AW29" i="37"/>
  <c r="AV29" i="37"/>
  <c r="AU29" i="37"/>
  <c r="AT29" i="37"/>
  <c r="AS29" i="37"/>
  <c r="BG28" i="37"/>
  <c r="BF28" i="37"/>
  <c r="BE28" i="37"/>
  <c r="BD28" i="37"/>
  <c r="BC28" i="37"/>
  <c r="BB28" i="37"/>
  <c r="BA28" i="37"/>
  <c r="AZ28" i="37"/>
  <c r="AY28" i="37"/>
  <c r="AX28" i="37"/>
  <c r="AW28" i="37"/>
  <c r="AV28" i="37"/>
  <c r="AU28" i="37"/>
  <c r="AT28" i="37"/>
  <c r="AS28" i="37"/>
  <c r="BG27" i="37"/>
  <c r="BF27" i="37"/>
  <c r="BE27" i="37"/>
  <c r="BD27" i="37"/>
  <c r="BC27" i="37"/>
  <c r="BB27" i="37"/>
  <c r="BA27" i="37"/>
  <c r="AZ27" i="37"/>
  <c r="AY27" i="37"/>
  <c r="AX27" i="37"/>
  <c r="AW27" i="37"/>
  <c r="AV27" i="37"/>
  <c r="AU27" i="37"/>
  <c r="AT27" i="37"/>
  <c r="AS27" i="37"/>
  <c r="BG26" i="37"/>
  <c r="BF26" i="37"/>
  <c r="BE26" i="37"/>
  <c r="BD26" i="37"/>
  <c r="BC26" i="37"/>
  <c r="BB26" i="37"/>
  <c r="BA26" i="37"/>
  <c r="AZ26" i="37"/>
  <c r="AY26" i="37"/>
  <c r="AX26" i="37"/>
  <c r="AW26" i="37"/>
  <c r="AV26" i="37"/>
  <c r="AU26" i="37"/>
  <c r="AT26" i="37"/>
  <c r="AS26" i="37"/>
  <c r="H26" i="37"/>
  <c r="E26" i="37"/>
  <c r="C26" i="37"/>
  <c r="BG25" i="37"/>
  <c r="BF25" i="37"/>
  <c r="BE25" i="37"/>
  <c r="BD25" i="37"/>
  <c r="BC25" i="37"/>
  <c r="BB25" i="37"/>
  <c r="BA25" i="37"/>
  <c r="AZ25" i="37"/>
  <c r="AY25" i="37"/>
  <c r="AX25" i="37"/>
  <c r="AW25" i="37"/>
  <c r="AV25" i="37"/>
  <c r="AU25" i="37"/>
  <c r="AT25" i="37"/>
  <c r="AS25" i="37"/>
  <c r="BG24" i="37"/>
  <c r="BF24" i="37"/>
  <c r="BE24" i="37"/>
  <c r="BD24" i="37"/>
  <c r="BC24" i="37"/>
  <c r="BB24" i="37"/>
  <c r="BA24" i="37"/>
  <c r="AZ24" i="37"/>
  <c r="AY24" i="37"/>
  <c r="AX24" i="37"/>
  <c r="AW24" i="37"/>
  <c r="AV24" i="37"/>
  <c r="AU24" i="37"/>
  <c r="AT24" i="37"/>
  <c r="AS24" i="37"/>
  <c r="BG23" i="37"/>
  <c r="BF23" i="37"/>
  <c r="BE23" i="37"/>
  <c r="BD23" i="37"/>
  <c r="BC23" i="37"/>
  <c r="BB23" i="37"/>
  <c r="BA23" i="37"/>
  <c r="AZ23" i="37"/>
  <c r="AY23" i="37"/>
  <c r="AX23" i="37"/>
  <c r="AW23" i="37"/>
  <c r="AV23" i="37"/>
  <c r="AU23" i="37"/>
  <c r="AT23" i="37"/>
  <c r="AS23" i="37"/>
  <c r="G23" i="37"/>
  <c r="E25" i="37" s="1"/>
  <c r="BG22" i="37"/>
  <c r="BF22" i="37"/>
  <c r="BE22" i="37"/>
  <c r="BD22" i="37"/>
  <c r="BC22" i="37"/>
  <c r="BB22" i="37"/>
  <c r="BA22" i="37"/>
  <c r="AZ22" i="37"/>
  <c r="AY22" i="37"/>
  <c r="AX22" i="37"/>
  <c r="AW22" i="37"/>
  <c r="AV22" i="37"/>
  <c r="AU22" i="37"/>
  <c r="AT22" i="37"/>
  <c r="AS22" i="37"/>
  <c r="BG21" i="37"/>
  <c r="BF21" i="37"/>
  <c r="BE21" i="37"/>
  <c r="BD21" i="37"/>
  <c r="BC21" i="37"/>
  <c r="BB21" i="37"/>
  <c r="BA21" i="37"/>
  <c r="AZ21" i="37"/>
  <c r="AY21" i="37"/>
  <c r="AX21" i="37"/>
  <c r="AW21" i="37"/>
  <c r="AV21" i="37"/>
  <c r="AU21" i="37"/>
  <c r="AT21" i="37"/>
  <c r="AS21" i="37"/>
  <c r="AN21" i="37"/>
  <c r="AM21" i="37"/>
  <c r="AL21" i="37"/>
  <c r="AK21" i="37"/>
  <c r="AJ21" i="37"/>
  <c r="AI21" i="37"/>
  <c r="AH21" i="37"/>
  <c r="AG21" i="37"/>
  <c r="AF21" i="37"/>
  <c r="AE21" i="37"/>
  <c r="AD21" i="37"/>
  <c r="AC21" i="37"/>
  <c r="AB21" i="37"/>
  <c r="AA21" i="37"/>
  <c r="Z21" i="37"/>
  <c r="Y21" i="37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H21" i="37"/>
  <c r="G21" i="37"/>
  <c r="BG20" i="37"/>
  <c r="BF20" i="37"/>
  <c r="BE20" i="37"/>
  <c r="BD20" i="37"/>
  <c r="BC20" i="37"/>
  <c r="BB20" i="37"/>
  <c r="BA20" i="37"/>
  <c r="AZ20" i="37"/>
  <c r="AY20" i="37"/>
  <c r="AX20" i="37"/>
  <c r="AW20" i="37"/>
  <c r="AV20" i="37"/>
  <c r="AU20" i="37"/>
  <c r="AT20" i="37"/>
  <c r="AS20" i="37"/>
  <c r="BG19" i="37"/>
  <c r="BF19" i="37"/>
  <c r="BE19" i="37"/>
  <c r="BD19" i="37"/>
  <c r="BC19" i="37"/>
  <c r="BB19" i="37"/>
  <c r="BA19" i="37"/>
  <c r="AZ19" i="37"/>
  <c r="AY19" i="37"/>
  <c r="AX19" i="37"/>
  <c r="AW19" i="37"/>
  <c r="AV19" i="37"/>
  <c r="AU19" i="37"/>
  <c r="AT19" i="37"/>
  <c r="AS19" i="37"/>
  <c r="BG18" i="37"/>
  <c r="BF18" i="37"/>
  <c r="BE18" i="37"/>
  <c r="BD18" i="37"/>
  <c r="BC18" i="37"/>
  <c r="BB18" i="37"/>
  <c r="BA18" i="37"/>
  <c r="AZ18" i="37"/>
  <c r="AY18" i="37"/>
  <c r="AX18" i="37"/>
  <c r="AW18" i="37"/>
  <c r="AV18" i="37"/>
  <c r="AU18" i="37"/>
  <c r="AT18" i="37"/>
  <c r="AS18" i="37"/>
  <c r="AK18" i="37"/>
  <c r="AH18" i="37"/>
  <c r="AE18" i="37"/>
  <c r="I18" i="37"/>
  <c r="D18" i="37"/>
  <c r="C25" i="37" s="1"/>
  <c r="BG17" i="37"/>
  <c r="BF17" i="37"/>
  <c r="BE17" i="37"/>
  <c r="BD17" i="37"/>
  <c r="BC17" i="37"/>
  <c r="BB17" i="37"/>
  <c r="BA17" i="37"/>
  <c r="AZ17" i="37"/>
  <c r="AY17" i="37"/>
  <c r="AX17" i="37"/>
  <c r="AW17" i="37"/>
  <c r="AV17" i="37"/>
  <c r="AU17" i="37"/>
  <c r="AT17" i="37"/>
  <c r="AS17" i="37"/>
  <c r="BG16" i="37"/>
  <c r="BF16" i="37"/>
  <c r="BE16" i="37"/>
  <c r="BD16" i="37"/>
  <c r="BC16" i="37"/>
  <c r="BB16" i="37"/>
  <c r="BA16" i="37"/>
  <c r="AZ16" i="37"/>
  <c r="AY16" i="37"/>
  <c r="AX16" i="37"/>
  <c r="AW16" i="37"/>
  <c r="AV16" i="37"/>
  <c r="AU16" i="37"/>
  <c r="AT16" i="37"/>
  <c r="AS16" i="37"/>
  <c r="AN16" i="37"/>
  <c r="AM16" i="37"/>
  <c r="AL16" i="37"/>
  <c r="AK16" i="37"/>
  <c r="AJ16" i="37"/>
  <c r="AI16" i="37"/>
  <c r="AH16" i="37"/>
  <c r="AG16" i="37"/>
  <c r="AF16" i="37"/>
  <c r="AE16" i="37"/>
  <c r="AD16" i="37"/>
  <c r="AC16" i="37"/>
  <c r="AB16" i="37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BG15" i="37"/>
  <c r="BF15" i="37"/>
  <c r="BE15" i="37"/>
  <c r="BD15" i="37"/>
  <c r="BC15" i="37"/>
  <c r="BB15" i="37"/>
  <c r="BA15" i="37"/>
  <c r="AZ15" i="37"/>
  <c r="AY15" i="37"/>
  <c r="AX15" i="37"/>
  <c r="AW15" i="37"/>
  <c r="AV15" i="37"/>
  <c r="AU15" i="37"/>
  <c r="AT15" i="37"/>
  <c r="AS15" i="37"/>
  <c r="BG14" i="37"/>
  <c r="BF14" i="37"/>
  <c r="BE14" i="37"/>
  <c r="BD14" i="37"/>
  <c r="BC14" i="37"/>
  <c r="BB14" i="37"/>
  <c r="BA14" i="37"/>
  <c r="AZ14" i="37"/>
  <c r="AY14" i="37"/>
  <c r="AX14" i="37"/>
  <c r="AW14" i="37"/>
  <c r="AV14" i="37"/>
  <c r="AU14" i="37"/>
  <c r="AT14" i="37"/>
  <c r="AS14" i="37"/>
  <c r="AP14" i="37"/>
  <c r="E14" i="37"/>
  <c r="BG13" i="37"/>
  <c r="BF13" i="37"/>
  <c r="BE13" i="37"/>
  <c r="BD13" i="37"/>
  <c r="BC13" i="37"/>
  <c r="BB13" i="37"/>
  <c r="BA13" i="37"/>
  <c r="AZ13" i="37"/>
  <c r="AY13" i="37"/>
  <c r="AX13" i="37"/>
  <c r="AW13" i="37"/>
  <c r="AV13" i="37"/>
  <c r="AU13" i="37"/>
  <c r="AT13" i="37"/>
  <c r="AS13" i="37"/>
  <c r="E13" i="37"/>
  <c r="BG12" i="37"/>
  <c r="BF12" i="37"/>
  <c r="BE12" i="37"/>
  <c r="BD12" i="37"/>
  <c r="BC12" i="37"/>
  <c r="BB12" i="37"/>
  <c r="BA12" i="37"/>
  <c r="AZ12" i="37"/>
  <c r="AY12" i="37"/>
  <c r="AX12" i="37"/>
  <c r="AW12" i="37"/>
  <c r="AV12" i="37"/>
  <c r="AU12" i="37"/>
  <c r="AT12" i="37"/>
  <c r="AS12" i="37"/>
  <c r="E12" i="37"/>
  <c r="BG11" i="37"/>
  <c r="BF11" i="37"/>
  <c r="BE11" i="37"/>
  <c r="BD11" i="37"/>
  <c r="BC11" i="37"/>
  <c r="BB11" i="37"/>
  <c r="BA11" i="37"/>
  <c r="AZ11" i="37"/>
  <c r="AY11" i="37"/>
  <c r="AX11" i="37"/>
  <c r="AW11" i="37"/>
  <c r="AV11" i="37"/>
  <c r="AU11" i="37"/>
  <c r="AT11" i="37"/>
  <c r="AS11" i="37"/>
  <c r="AP11" i="37"/>
  <c r="E11" i="37"/>
  <c r="BG10" i="37"/>
  <c r="BF10" i="37"/>
  <c r="BE10" i="37"/>
  <c r="BD10" i="37"/>
  <c r="BC10" i="37"/>
  <c r="BB10" i="37"/>
  <c r="BA10" i="37"/>
  <c r="AZ10" i="37"/>
  <c r="AY10" i="37"/>
  <c r="AX10" i="37"/>
  <c r="AW10" i="37"/>
  <c r="AV10" i="37"/>
  <c r="AU10" i="37"/>
  <c r="AT10" i="37"/>
  <c r="AS10" i="37"/>
  <c r="E10" i="37"/>
  <c r="BG9" i="37"/>
  <c r="BF9" i="37"/>
  <c r="BE9" i="37"/>
  <c r="BD9" i="37"/>
  <c r="BC9" i="37"/>
  <c r="BB9" i="37"/>
  <c r="BA9" i="37"/>
  <c r="AZ9" i="37"/>
  <c r="AY9" i="37"/>
  <c r="AX9" i="37"/>
  <c r="AW9" i="37"/>
  <c r="AV9" i="37"/>
  <c r="AU9" i="37"/>
  <c r="AT9" i="37"/>
  <c r="AS9" i="37"/>
  <c r="AP9" i="37"/>
  <c r="E9" i="37"/>
  <c r="BG8" i="37"/>
  <c r="BF8" i="37"/>
  <c r="BE8" i="37"/>
  <c r="BD8" i="37"/>
  <c r="BC8" i="37"/>
  <c r="BB8" i="37"/>
  <c r="BA8" i="37"/>
  <c r="AZ8" i="37"/>
  <c r="AY8" i="37"/>
  <c r="AX8" i="37"/>
  <c r="AW8" i="37"/>
  <c r="AV8" i="37"/>
  <c r="AU8" i="37"/>
  <c r="AT8" i="37"/>
  <c r="AS8" i="37"/>
  <c r="E8" i="37"/>
  <c r="BG7" i="37"/>
  <c r="BF7" i="37"/>
  <c r="BE7" i="37"/>
  <c r="BD7" i="37"/>
  <c r="BC7" i="37"/>
  <c r="BB7" i="37"/>
  <c r="BA7" i="37"/>
  <c r="AZ7" i="37"/>
  <c r="AY7" i="37"/>
  <c r="AX7" i="37"/>
  <c r="AW7" i="37"/>
  <c r="AV7" i="37"/>
  <c r="AU7" i="37"/>
  <c r="AT7" i="37"/>
  <c r="AS7" i="37"/>
  <c r="AP7" i="37"/>
  <c r="E7" i="37"/>
  <c r="BG6" i="37"/>
  <c r="BF6" i="37"/>
  <c r="BE6" i="37"/>
  <c r="BD6" i="37"/>
  <c r="BC6" i="37"/>
  <c r="BB6" i="37"/>
  <c r="BA6" i="37"/>
  <c r="AZ6" i="37"/>
  <c r="AY6" i="37"/>
  <c r="AX6" i="37"/>
  <c r="AW6" i="37"/>
  <c r="AV6" i="37"/>
  <c r="AU6" i="37"/>
  <c r="AT6" i="37"/>
  <c r="AS6" i="37"/>
  <c r="E6" i="37"/>
  <c r="BG5" i="37"/>
  <c r="BF5" i="37"/>
  <c r="BE5" i="37"/>
  <c r="BD5" i="37"/>
  <c r="BC5" i="37"/>
  <c r="BB5" i="37"/>
  <c r="BA5" i="37"/>
  <c r="AZ5" i="37"/>
  <c r="AY5" i="37"/>
  <c r="AX5" i="37"/>
  <c r="AW5" i="37"/>
  <c r="AV5" i="37"/>
  <c r="AU5" i="37"/>
  <c r="AT5" i="37"/>
  <c r="AS5" i="37"/>
  <c r="E5" i="37"/>
  <c r="BG4" i="37"/>
  <c r="BF4" i="37"/>
  <c r="BE4" i="37"/>
  <c r="BD4" i="37"/>
  <c r="BC4" i="37"/>
  <c r="BB4" i="37"/>
  <c r="BA4" i="37"/>
  <c r="AZ4" i="37"/>
  <c r="AY4" i="37"/>
  <c r="AX4" i="37"/>
  <c r="AW4" i="37"/>
  <c r="AV4" i="37"/>
  <c r="AU4" i="37"/>
  <c r="AT4" i="37"/>
  <c r="AS4" i="37"/>
  <c r="AP4" i="37"/>
  <c r="E4" i="37"/>
  <c r="E18" i="37" s="1"/>
  <c r="BG3" i="37"/>
  <c r="BF3" i="37"/>
  <c r="BE3" i="37"/>
  <c r="BD3" i="37"/>
  <c r="BC3" i="37"/>
  <c r="BB3" i="37"/>
  <c r="BA3" i="37"/>
  <c r="AZ3" i="37"/>
  <c r="AY3" i="37"/>
  <c r="AX3" i="37"/>
  <c r="AW3" i="37"/>
  <c r="AV3" i="37"/>
  <c r="AU3" i="37"/>
  <c r="AT3" i="37"/>
  <c r="AS3" i="37"/>
  <c r="BG2" i="37"/>
  <c r="BF2" i="37"/>
  <c r="BE2" i="37"/>
  <c r="BD2" i="37"/>
  <c r="BC2" i="37"/>
  <c r="BB2" i="37"/>
  <c r="BA2" i="37"/>
  <c r="AZ2" i="37"/>
  <c r="AY2" i="37"/>
  <c r="AX2" i="37"/>
  <c r="AW2" i="37"/>
  <c r="AV2" i="37"/>
  <c r="AU2" i="37"/>
  <c r="AT2" i="37"/>
  <c r="AS2" i="37"/>
  <c r="G24" i="48" l="1"/>
  <c r="E25" i="47"/>
  <c r="G24" i="43"/>
  <c r="G24" i="41"/>
  <c r="G24" i="39"/>
  <c r="G24" i="37"/>
  <c r="K16" i="21"/>
  <c r="L16" i="21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AB16" i="21"/>
  <c r="AC16" i="21"/>
  <c r="AD16" i="21"/>
  <c r="AE16" i="21"/>
  <c r="AF16" i="21"/>
  <c r="AG16" i="21"/>
  <c r="AH16" i="21"/>
  <c r="AI16" i="21"/>
  <c r="AJ16" i="21"/>
  <c r="AK16" i="21"/>
  <c r="AL16" i="21"/>
  <c r="AM16" i="21"/>
  <c r="AN16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AH21" i="21"/>
  <c r="AI21" i="21"/>
  <c r="AJ21" i="21"/>
  <c r="AK21" i="21"/>
  <c r="AL21" i="21"/>
  <c r="AM21" i="21"/>
  <c r="AN21" i="21"/>
  <c r="AS62" i="21" l="1"/>
  <c r="AT62" i="21" s="1"/>
  <c r="AU62" i="21" s="1"/>
  <c r="AV62" i="21" s="1"/>
  <c r="AW62" i="21" s="1"/>
  <c r="AX62" i="21" s="1"/>
  <c r="AY62" i="21" s="1"/>
  <c r="AZ62" i="21" s="1"/>
  <c r="BA62" i="21" s="1"/>
  <c r="BB62" i="21" s="1"/>
  <c r="BC62" i="21" s="1"/>
  <c r="BD62" i="21" s="1"/>
  <c r="BE62" i="21" s="1"/>
  <c r="BF62" i="21" s="1"/>
  <c r="BG62" i="21" s="1"/>
  <c r="AS61" i="21"/>
  <c r="AT61" i="21" s="1"/>
  <c r="AU61" i="21" s="1"/>
  <c r="AV61" i="21" s="1"/>
  <c r="AW61" i="21" s="1"/>
  <c r="AX61" i="21" s="1"/>
  <c r="AY61" i="21" s="1"/>
  <c r="AZ61" i="21" s="1"/>
  <c r="BA61" i="21" s="1"/>
  <c r="BB61" i="21" s="1"/>
  <c r="BC61" i="21" s="1"/>
  <c r="BD61" i="21" s="1"/>
  <c r="BE61" i="21" s="1"/>
  <c r="BF61" i="21" s="1"/>
  <c r="BG61" i="21" s="1"/>
  <c r="AS60" i="21"/>
  <c r="AT60" i="21" s="1"/>
  <c r="AU60" i="21" s="1"/>
  <c r="AV60" i="21" s="1"/>
  <c r="AW60" i="21" s="1"/>
  <c r="AX60" i="21" s="1"/>
  <c r="AY60" i="21" s="1"/>
  <c r="AZ60" i="21" s="1"/>
  <c r="BA60" i="21" s="1"/>
  <c r="BB60" i="21" s="1"/>
  <c r="BC60" i="21" s="1"/>
  <c r="BD60" i="21" s="1"/>
  <c r="BE60" i="21" s="1"/>
  <c r="BF60" i="21" s="1"/>
  <c r="BG60" i="21" s="1"/>
  <c r="AS59" i="21"/>
  <c r="AT59" i="21" s="1"/>
  <c r="AU59" i="21" s="1"/>
  <c r="AV59" i="21" s="1"/>
  <c r="AW59" i="21" s="1"/>
  <c r="AX59" i="21" s="1"/>
  <c r="AY59" i="21" s="1"/>
  <c r="AZ59" i="21" s="1"/>
  <c r="BA59" i="21" s="1"/>
  <c r="BB59" i="21" s="1"/>
  <c r="BC59" i="21" s="1"/>
  <c r="BD59" i="21" s="1"/>
  <c r="BE59" i="21" s="1"/>
  <c r="BF59" i="21" s="1"/>
  <c r="BG59" i="21" s="1"/>
  <c r="AX58" i="21"/>
  <c r="AY58" i="21" s="1"/>
  <c r="AZ58" i="21" s="1"/>
  <c r="BA58" i="21" s="1"/>
  <c r="BB58" i="21" s="1"/>
  <c r="BC58" i="21" s="1"/>
  <c r="BD58" i="21" s="1"/>
  <c r="BE58" i="21" s="1"/>
  <c r="BF58" i="21" s="1"/>
  <c r="BG58" i="21" s="1"/>
  <c r="AS58" i="21"/>
  <c r="AT58" i="21" s="1"/>
  <c r="AU58" i="21" s="1"/>
  <c r="AV58" i="21" s="1"/>
  <c r="AW58" i="21" s="1"/>
  <c r="AT57" i="21"/>
  <c r="AU57" i="21" s="1"/>
  <c r="AV57" i="21" s="1"/>
  <c r="AW57" i="21" s="1"/>
  <c r="AX57" i="21" s="1"/>
  <c r="AY57" i="21" s="1"/>
  <c r="AZ57" i="21" s="1"/>
  <c r="BA57" i="21" s="1"/>
  <c r="BB57" i="21" s="1"/>
  <c r="BC57" i="21" s="1"/>
  <c r="BD57" i="21" s="1"/>
  <c r="BE57" i="21" s="1"/>
  <c r="BF57" i="21" s="1"/>
  <c r="BG57" i="21" s="1"/>
  <c r="AS57" i="21"/>
  <c r="AS56" i="21"/>
  <c r="AT56" i="21" s="1"/>
  <c r="AU56" i="21" s="1"/>
  <c r="AV56" i="21" s="1"/>
  <c r="AW56" i="21" s="1"/>
  <c r="AX56" i="21" s="1"/>
  <c r="AY56" i="21" s="1"/>
  <c r="AZ56" i="21" s="1"/>
  <c r="BA56" i="21" s="1"/>
  <c r="BB56" i="21" s="1"/>
  <c r="BC56" i="21" s="1"/>
  <c r="BD56" i="21" s="1"/>
  <c r="BE56" i="21" s="1"/>
  <c r="BF56" i="21" s="1"/>
  <c r="BG56" i="21" s="1"/>
  <c r="AY55" i="21"/>
  <c r="AZ55" i="21" s="1"/>
  <c r="BA55" i="21" s="1"/>
  <c r="BB55" i="21" s="1"/>
  <c r="BC55" i="21" s="1"/>
  <c r="BD55" i="21" s="1"/>
  <c r="BE55" i="21" s="1"/>
  <c r="BF55" i="21" s="1"/>
  <c r="BG55" i="21" s="1"/>
  <c r="AS55" i="21"/>
  <c r="AT55" i="21" s="1"/>
  <c r="AU55" i="21" s="1"/>
  <c r="AV55" i="21" s="1"/>
  <c r="AW55" i="21" s="1"/>
  <c r="AX55" i="21" s="1"/>
  <c r="AS54" i="21"/>
  <c r="AT54" i="21" s="1"/>
  <c r="AU54" i="21" s="1"/>
  <c r="AV54" i="21" s="1"/>
  <c r="AW54" i="21" s="1"/>
  <c r="AX54" i="21" s="1"/>
  <c r="AY54" i="21" s="1"/>
  <c r="AZ54" i="21" s="1"/>
  <c r="BA54" i="21" s="1"/>
  <c r="BB54" i="21" s="1"/>
  <c r="BC54" i="21" s="1"/>
  <c r="BD54" i="21" s="1"/>
  <c r="BE54" i="21" s="1"/>
  <c r="BF54" i="21" s="1"/>
  <c r="BG54" i="21" s="1"/>
  <c r="AS53" i="21"/>
  <c r="AT53" i="21" s="1"/>
  <c r="AU53" i="21" s="1"/>
  <c r="AV53" i="21" s="1"/>
  <c r="AW53" i="21" s="1"/>
  <c r="AX53" i="21" s="1"/>
  <c r="AY53" i="21" s="1"/>
  <c r="AZ53" i="21" s="1"/>
  <c r="BA53" i="21" s="1"/>
  <c r="BB53" i="21" s="1"/>
  <c r="BC53" i="21" s="1"/>
  <c r="BD53" i="21" s="1"/>
  <c r="BE53" i="21" s="1"/>
  <c r="BF53" i="21" s="1"/>
  <c r="BG53" i="21" s="1"/>
  <c r="AS52" i="21"/>
  <c r="AT52" i="21" s="1"/>
  <c r="AU52" i="21" s="1"/>
  <c r="AV52" i="21" s="1"/>
  <c r="AW52" i="21" s="1"/>
  <c r="AX52" i="21" s="1"/>
  <c r="AY52" i="21" s="1"/>
  <c r="AZ52" i="21" s="1"/>
  <c r="BA52" i="21" s="1"/>
  <c r="BB52" i="21" s="1"/>
  <c r="BC52" i="21" s="1"/>
  <c r="BD52" i="21" s="1"/>
  <c r="BE52" i="21" s="1"/>
  <c r="BF52" i="21" s="1"/>
  <c r="BG52" i="21" s="1"/>
  <c r="AU51" i="21"/>
  <c r="AV51" i="21" s="1"/>
  <c r="AW51" i="21" s="1"/>
  <c r="AX51" i="21" s="1"/>
  <c r="AY51" i="21" s="1"/>
  <c r="AZ51" i="21" s="1"/>
  <c r="BA51" i="21" s="1"/>
  <c r="BB51" i="21" s="1"/>
  <c r="BC51" i="21" s="1"/>
  <c r="BD51" i="21" s="1"/>
  <c r="BE51" i="21" s="1"/>
  <c r="BF51" i="21" s="1"/>
  <c r="BG51" i="21" s="1"/>
  <c r="AS51" i="21"/>
  <c r="AT51" i="21" s="1"/>
  <c r="BD50" i="21"/>
  <c r="BE50" i="21" s="1"/>
  <c r="BF50" i="21" s="1"/>
  <c r="BG50" i="21" s="1"/>
  <c r="AS50" i="21"/>
  <c r="AT50" i="21" s="1"/>
  <c r="AU50" i="21" s="1"/>
  <c r="AV50" i="21" s="1"/>
  <c r="AW50" i="21" s="1"/>
  <c r="AX50" i="21" s="1"/>
  <c r="AY50" i="21" s="1"/>
  <c r="AZ50" i="21" s="1"/>
  <c r="BA50" i="21" s="1"/>
  <c r="BB50" i="21" s="1"/>
  <c r="BC50" i="21" s="1"/>
  <c r="AX49" i="21"/>
  <c r="AY49" i="21" s="1"/>
  <c r="AZ49" i="21" s="1"/>
  <c r="BA49" i="21" s="1"/>
  <c r="BB49" i="21" s="1"/>
  <c r="BC49" i="21" s="1"/>
  <c r="BD49" i="21" s="1"/>
  <c r="BE49" i="21" s="1"/>
  <c r="BF49" i="21" s="1"/>
  <c r="BG49" i="21" s="1"/>
  <c r="AS49" i="21"/>
  <c r="AT49" i="21" s="1"/>
  <c r="AU49" i="21" s="1"/>
  <c r="AV49" i="21" s="1"/>
  <c r="AW49" i="21" s="1"/>
  <c r="BD48" i="21"/>
  <c r="BE48" i="21" s="1"/>
  <c r="BF48" i="21" s="1"/>
  <c r="BG48" i="21" s="1"/>
  <c r="AS48" i="21"/>
  <c r="AT48" i="21" s="1"/>
  <c r="AU48" i="21" s="1"/>
  <c r="AV48" i="21" s="1"/>
  <c r="AW48" i="21" s="1"/>
  <c r="AX48" i="21" s="1"/>
  <c r="AY48" i="21" s="1"/>
  <c r="AZ48" i="21" s="1"/>
  <c r="BA48" i="21" s="1"/>
  <c r="BB48" i="21" s="1"/>
  <c r="BC48" i="21" s="1"/>
  <c r="BD47" i="21"/>
  <c r="BE47" i="21" s="1"/>
  <c r="BF47" i="21" s="1"/>
  <c r="BG47" i="21" s="1"/>
  <c r="AS47" i="21"/>
  <c r="AT47" i="21" s="1"/>
  <c r="AU47" i="21" s="1"/>
  <c r="AV47" i="21" s="1"/>
  <c r="AW47" i="21" s="1"/>
  <c r="AX47" i="21" s="1"/>
  <c r="AY47" i="21" s="1"/>
  <c r="AZ47" i="21" s="1"/>
  <c r="BA47" i="21" s="1"/>
  <c r="BB47" i="21" s="1"/>
  <c r="BC47" i="21" s="1"/>
  <c r="AS46" i="21"/>
  <c r="AT46" i="21" s="1"/>
  <c r="AU46" i="21" s="1"/>
  <c r="AV46" i="21" s="1"/>
  <c r="AW46" i="21" s="1"/>
  <c r="AX46" i="21" s="1"/>
  <c r="AY46" i="21" s="1"/>
  <c r="AZ46" i="21" s="1"/>
  <c r="BA46" i="21" s="1"/>
  <c r="BB46" i="21" s="1"/>
  <c r="BC46" i="21" s="1"/>
  <c r="BD46" i="21" s="1"/>
  <c r="BE46" i="21" s="1"/>
  <c r="BF46" i="21" s="1"/>
  <c r="BG46" i="21" s="1"/>
  <c r="AS45" i="21"/>
  <c r="AT45" i="21" s="1"/>
  <c r="AU45" i="21" s="1"/>
  <c r="AV45" i="21" s="1"/>
  <c r="AW45" i="21" s="1"/>
  <c r="AX45" i="21" s="1"/>
  <c r="AY45" i="21" s="1"/>
  <c r="AZ45" i="21" s="1"/>
  <c r="BA45" i="21" s="1"/>
  <c r="BB45" i="21" s="1"/>
  <c r="BC45" i="21" s="1"/>
  <c r="BD45" i="21" s="1"/>
  <c r="BE45" i="21" s="1"/>
  <c r="BF45" i="21" s="1"/>
  <c r="BG45" i="21" s="1"/>
  <c r="AS44" i="21"/>
  <c r="AT44" i="21" s="1"/>
  <c r="AU44" i="21" s="1"/>
  <c r="AV44" i="21" s="1"/>
  <c r="AW44" i="21" s="1"/>
  <c r="AX44" i="21" s="1"/>
  <c r="AY44" i="21" s="1"/>
  <c r="AZ44" i="21" s="1"/>
  <c r="BA44" i="21" s="1"/>
  <c r="BB44" i="21" s="1"/>
  <c r="BC44" i="21" s="1"/>
  <c r="BD44" i="21" s="1"/>
  <c r="BE44" i="21" s="1"/>
  <c r="BF44" i="21" s="1"/>
  <c r="BG44" i="21" s="1"/>
  <c r="AS43" i="21"/>
  <c r="AT43" i="21" s="1"/>
  <c r="AU43" i="21" s="1"/>
  <c r="AV43" i="21" s="1"/>
  <c r="AW43" i="21" s="1"/>
  <c r="AX43" i="21" s="1"/>
  <c r="AY43" i="21" s="1"/>
  <c r="AZ43" i="21" s="1"/>
  <c r="BA43" i="21" s="1"/>
  <c r="BB43" i="21" s="1"/>
  <c r="BC43" i="21" s="1"/>
  <c r="BD43" i="21" s="1"/>
  <c r="BE43" i="21" s="1"/>
  <c r="BF43" i="21" s="1"/>
  <c r="BG43" i="21" s="1"/>
  <c r="AX42" i="21"/>
  <c r="AY42" i="21" s="1"/>
  <c r="AZ42" i="21" s="1"/>
  <c r="BA42" i="21" s="1"/>
  <c r="BB42" i="21" s="1"/>
  <c r="BC42" i="21" s="1"/>
  <c r="BD42" i="21" s="1"/>
  <c r="BE42" i="21" s="1"/>
  <c r="BF42" i="21" s="1"/>
  <c r="BG42" i="21" s="1"/>
  <c r="AS42" i="21"/>
  <c r="AT42" i="21" s="1"/>
  <c r="AU42" i="21" s="1"/>
  <c r="AV42" i="21" s="1"/>
  <c r="AW42" i="21" s="1"/>
  <c r="BD41" i="21"/>
  <c r="BE41" i="21" s="1"/>
  <c r="BF41" i="21" s="1"/>
  <c r="BG41" i="21" s="1"/>
  <c r="AT41" i="21"/>
  <c r="AU41" i="21" s="1"/>
  <c r="AV41" i="21" s="1"/>
  <c r="AW41" i="21" s="1"/>
  <c r="AX41" i="21" s="1"/>
  <c r="AY41" i="21" s="1"/>
  <c r="AZ41" i="21" s="1"/>
  <c r="BA41" i="21" s="1"/>
  <c r="BB41" i="21" s="1"/>
  <c r="BC41" i="21" s="1"/>
  <c r="AS41" i="21"/>
  <c r="AS40" i="21"/>
  <c r="AT40" i="21" s="1"/>
  <c r="AU40" i="21" s="1"/>
  <c r="AV40" i="21" s="1"/>
  <c r="AW40" i="21" s="1"/>
  <c r="AX40" i="21" s="1"/>
  <c r="AY40" i="21" s="1"/>
  <c r="AZ40" i="21" s="1"/>
  <c r="BA40" i="21" s="1"/>
  <c r="BB40" i="21" s="1"/>
  <c r="BC40" i="21" s="1"/>
  <c r="BD40" i="21" s="1"/>
  <c r="BE40" i="21" s="1"/>
  <c r="BF40" i="21" s="1"/>
  <c r="BG40" i="21" s="1"/>
  <c r="AY39" i="21"/>
  <c r="AZ39" i="21" s="1"/>
  <c r="BA39" i="21" s="1"/>
  <c r="BB39" i="21" s="1"/>
  <c r="BC39" i="21" s="1"/>
  <c r="BD39" i="21" s="1"/>
  <c r="BE39" i="21" s="1"/>
  <c r="BF39" i="21" s="1"/>
  <c r="BG39" i="21" s="1"/>
  <c r="AS39" i="21"/>
  <c r="AT39" i="21" s="1"/>
  <c r="AU39" i="21" s="1"/>
  <c r="AV39" i="21" s="1"/>
  <c r="AW39" i="21" s="1"/>
  <c r="AX39" i="21" s="1"/>
  <c r="AS38" i="21"/>
  <c r="AT38" i="21" s="1"/>
  <c r="AU38" i="21" s="1"/>
  <c r="AV38" i="21" s="1"/>
  <c r="AW38" i="21" s="1"/>
  <c r="AX38" i="21" s="1"/>
  <c r="AY38" i="21" s="1"/>
  <c r="AZ38" i="21" s="1"/>
  <c r="BA38" i="21" s="1"/>
  <c r="BB38" i="21" s="1"/>
  <c r="BC38" i="21" s="1"/>
  <c r="BD38" i="21" s="1"/>
  <c r="BE38" i="21" s="1"/>
  <c r="BF38" i="21" s="1"/>
  <c r="BG38" i="21" s="1"/>
  <c r="AS37" i="21"/>
  <c r="AT37" i="21" s="1"/>
  <c r="AU37" i="21" s="1"/>
  <c r="AV37" i="21" s="1"/>
  <c r="AW37" i="21" s="1"/>
  <c r="AX37" i="21" s="1"/>
  <c r="AY37" i="21" s="1"/>
  <c r="AZ37" i="21" s="1"/>
  <c r="BA37" i="21" s="1"/>
  <c r="BB37" i="21" s="1"/>
  <c r="BC37" i="21" s="1"/>
  <c r="BD37" i="21" s="1"/>
  <c r="BE37" i="21" s="1"/>
  <c r="BF37" i="21" s="1"/>
  <c r="BG37" i="21" s="1"/>
  <c r="AS36" i="21"/>
  <c r="AT36" i="21" s="1"/>
  <c r="AU36" i="21" s="1"/>
  <c r="AV36" i="21" s="1"/>
  <c r="AW36" i="21" s="1"/>
  <c r="AX36" i="21" s="1"/>
  <c r="AY36" i="21" s="1"/>
  <c r="AZ36" i="21" s="1"/>
  <c r="BA36" i="21" s="1"/>
  <c r="BB36" i="21" s="1"/>
  <c r="BC36" i="21" s="1"/>
  <c r="BD36" i="21" s="1"/>
  <c r="BE36" i="21" s="1"/>
  <c r="BF36" i="21" s="1"/>
  <c r="BG36" i="21" s="1"/>
  <c r="AS35" i="21"/>
  <c r="AT35" i="21" s="1"/>
  <c r="AU35" i="21" s="1"/>
  <c r="AV35" i="21" s="1"/>
  <c r="AW35" i="21" s="1"/>
  <c r="AX35" i="21" s="1"/>
  <c r="AY35" i="21" s="1"/>
  <c r="AZ35" i="21" s="1"/>
  <c r="BA35" i="21" s="1"/>
  <c r="BB35" i="21" s="1"/>
  <c r="BC35" i="21" s="1"/>
  <c r="BD35" i="21" s="1"/>
  <c r="BE35" i="21" s="1"/>
  <c r="BF35" i="21" s="1"/>
  <c r="BG35" i="21" s="1"/>
  <c r="BE34" i="21"/>
  <c r="BF34" i="21" s="1"/>
  <c r="BG34" i="21" s="1"/>
  <c r="BD34" i="21"/>
  <c r="AS34" i="21"/>
  <c r="AT34" i="21" s="1"/>
  <c r="AU34" i="21" s="1"/>
  <c r="AV34" i="21" s="1"/>
  <c r="AW34" i="21" s="1"/>
  <c r="AX34" i="21" s="1"/>
  <c r="AY34" i="21" s="1"/>
  <c r="AZ34" i="21" s="1"/>
  <c r="BA34" i="21" s="1"/>
  <c r="BB34" i="21" s="1"/>
  <c r="BC34" i="21" s="1"/>
  <c r="AS33" i="21"/>
  <c r="AT33" i="21" s="1"/>
  <c r="AU33" i="21" s="1"/>
  <c r="AV33" i="21" s="1"/>
  <c r="AW33" i="21" s="1"/>
  <c r="AX33" i="21" s="1"/>
  <c r="AY33" i="21" s="1"/>
  <c r="AZ33" i="21" s="1"/>
  <c r="BA33" i="21" s="1"/>
  <c r="BB33" i="21" s="1"/>
  <c r="BC33" i="21" s="1"/>
  <c r="BD33" i="21" s="1"/>
  <c r="BE33" i="21" s="1"/>
  <c r="BF33" i="21" s="1"/>
  <c r="BG33" i="21" s="1"/>
  <c r="AS32" i="21"/>
  <c r="AT32" i="21" s="1"/>
  <c r="AU32" i="21" s="1"/>
  <c r="AV32" i="21" s="1"/>
  <c r="AW32" i="21" s="1"/>
  <c r="AX32" i="21" s="1"/>
  <c r="AY32" i="21" s="1"/>
  <c r="AZ32" i="21" s="1"/>
  <c r="BA32" i="21" s="1"/>
  <c r="BB32" i="21" s="1"/>
  <c r="BC32" i="21" s="1"/>
  <c r="BD32" i="21" s="1"/>
  <c r="BE32" i="21" s="1"/>
  <c r="BF32" i="21" s="1"/>
  <c r="BG32" i="21" s="1"/>
  <c r="AS31" i="21"/>
  <c r="AT31" i="21" s="1"/>
  <c r="AU31" i="21" s="1"/>
  <c r="AV31" i="21" s="1"/>
  <c r="AW31" i="21" s="1"/>
  <c r="AX31" i="21" s="1"/>
  <c r="AY31" i="21" s="1"/>
  <c r="AZ31" i="21" s="1"/>
  <c r="BA31" i="21" s="1"/>
  <c r="BB31" i="21" s="1"/>
  <c r="BC31" i="21" s="1"/>
  <c r="BD31" i="21" s="1"/>
  <c r="BE31" i="21" s="1"/>
  <c r="BF31" i="21" s="1"/>
  <c r="BG31" i="21" s="1"/>
  <c r="AS30" i="21"/>
  <c r="AT30" i="21" s="1"/>
  <c r="AU30" i="21" s="1"/>
  <c r="AV30" i="21" s="1"/>
  <c r="AW30" i="21" s="1"/>
  <c r="AX30" i="21" s="1"/>
  <c r="AY30" i="21" s="1"/>
  <c r="AZ30" i="21" s="1"/>
  <c r="BA30" i="21" s="1"/>
  <c r="BB30" i="21" s="1"/>
  <c r="BC30" i="21" s="1"/>
  <c r="BD30" i="21" s="1"/>
  <c r="BE30" i="21" s="1"/>
  <c r="BF30" i="21" s="1"/>
  <c r="BG30" i="21" s="1"/>
  <c r="AS29" i="21"/>
  <c r="AT29" i="21" s="1"/>
  <c r="AU29" i="21" s="1"/>
  <c r="AV29" i="21" s="1"/>
  <c r="AW29" i="21" s="1"/>
  <c r="AX29" i="21" s="1"/>
  <c r="AY29" i="21" s="1"/>
  <c r="AZ29" i="21" s="1"/>
  <c r="BA29" i="21" s="1"/>
  <c r="BB29" i="21" s="1"/>
  <c r="BC29" i="21" s="1"/>
  <c r="BD29" i="21" s="1"/>
  <c r="BE29" i="21" s="1"/>
  <c r="BF29" i="21" s="1"/>
  <c r="BG29" i="21" s="1"/>
  <c r="AS28" i="21"/>
  <c r="AT28" i="21" s="1"/>
  <c r="AU28" i="21" s="1"/>
  <c r="AV28" i="21" s="1"/>
  <c r="AW28" i="21" s="1"/>
  <c r="AX28" i="21" s="1"/>
  <c r="AY28" i="21" s="1"/>
  <c r="AZ28" i="21" s="1"/>
  <c r="BA28" i="21" s="1"/>
  <c r="BB28" i="21" s="1"/>
  <c r="BC28" i="21" s="1"/>
  <c r="BD28" i="21" s="1"/>
  <c r="BE28" i="21" s="1"/>
  <c r="BF28" i="21" s="1"/>
  <c r="BG28" i="21" s="1"/>
  <c r="AS27" i="21"/>
  <c r="AT27" i="21" s="1"/>
  <c r="AU27" i="21" s="1"/>
  <c r="AV27" i="21" s="1"/>
  <c r="AW27" i="21" s="1"/>
  <c r="AX27" i="21" s="1"/>
  <c r="AY27" i="21" s="1"/>
  <c r="AZ27" i="21" s="1"/>
  <c r="BA27" i="21" s="1"/>
  <c r="BB27" i="21" s="1"/>
  <c r="BC27" i="21" s="1"/>
  <c r="BD27" i="21" s="1"/>
  <c r="BE27" i="21" s="1"/>
  <c r="BF27" i="21" s="1"/>
  <c r="BG27" i="21" s="1"/>
  <c r="AX26" i="21"/>
  <c r="AY26" i="21" s="1"/>
  <c r="AZ26" i="21" s="1"/>
  <c r="BA26" i="21" s="1"/>
  <c r="BB26" i="21" s="1"/>
  <c r="BC26" i="21" s="1"/>
  <c r="BD26" i="21" s="1"/>
  <c r="BE26" i="21" s="1"/>
  <c r="BF26" i="21" s="1"/>
  <c r="BG26" i="21" s="1"/>
  <c r="AS26" i="21"/>
  <c r="AT26" i="21" s="1"/>
  <c r="AU26" i="21" s="1"/>
  <c r="AV26" i="21" s="1"/>
  <c r="AW26" i="21" s="1"/>
  <c r="H26" i="21"/>
  <c r="E26" i="21"/>
  <c r="AZ25" i="21"/>
  <c r="BA25" i="21" s="1"/>
  <c r="BB25" i="21" s="1"/>
  <c r="BC25" i="21" s="1"/>
  <c r="BD25" i="21" s="1"/>
  <c r="BE25" i="21" s="1"/>
  <c r="BF25" i="21" s="1"/>
  <c r="BG25" i="21" s="1"/>
  <c r="AS25" i="21"/>
  <c r="AT25" i="21" s="1"/>
  <c r="AU25" i="21" s="1"/>
  <c r="AV25" i="21" s="1"/>
  <c r="AW25" i="21" s="1"/>
  <c r="AX25" i="21" s="1"/>
  <c r="AY25" i="21" s="1"/>
  <c r="AW24" i="21"/>
  <c r="AX24" i="21" s="1"/>
  <c r="AY24" i="21" s="1"/>
  <c r="AZ24" i="21" s="1"/>
  <c r="BA24" i="21" s="1"/>
  <c r="BB24" i="21" s="1"/>
  <c r="BC24" i="21" s="1"/>
  <c r="BD24" i="21" s="1"/>
  <c r="BE24" i="21" s="1"/>
  <c r="BF24" i="21" s="1"/>
  <c r="BG24" i="21" s="1"/>
  <c r="AS24" i="21"/>
  <c r="AT24" i="21" s="1"/>
  <c r="AU24" i="21" s="1"/>
  <c r="AV24" i="21" s="1"/>
  <c r="BD23" i="21"/>
  <c r="BE23" i="21" s="1"/>
  <c r="BF23" i="21" s="1"/>
  <c r="BG23" i="21" s="1"/>
  <c r="AS23" i="21"/>
  <c r="AT23" i="21" s="1"/>
  <c r="AU23" i="21" s="1"/>
  <c r="AV23" i="21" s="1"/>
  <c r="AW23" i="21" s="1"/>
  <c r="AX23" i="21" s="1"/>
  <c r="AY23" i="21" s="1"/>
  <c r="AZ23" i="21" s="1"/>
  <c r="BA23" i="21" s="1"/>
  <c r="BB23" i="21" s="1"/>
  <c r="BC23" i="21" s="1"/>
  <c r="G23" i="21"/>
  <c r="AS22" i="21"/>
  <c r="AT22" i="21" s="1"/>
  <c r="AU22" i="21" s="1"/>
  <c r="AV22" i="21" s="1"/>
  <c r="AW22" i="21" s="1"/>
  <c r="AX22" i="21" s="1"/>
  <c r="AY22" i="21" s="1"/>
  <c r="AZ22" i="21" s="1"/>
  <c r="BA22" i="21" s="1"/>
  <c r="BB22" i="21" s="1"/>
  <c r="BC22" i="21" s="1"/>
  <c r="BD22" i="21" s="1"/>
  <c r="BE22" i="21" s="1"/>
  <c r="BF22" i="21" s="1"/>
  <c r="BG22" i="21" s="1"/>
  <c r="AS21" i="21"/>
  <c r="AT21" i="21" s="1"/>
  <c r="AU21" i="21" s="1"/>
  <c r="AV21" i="21" s="1"/>
  <c r="AW21" i="21" s="1"/>
  <c r="AX21" i="21" s="1"/>
  <c r="AY21" i="21" s="1"/>
  <c r="AZ21" i="21" s="1"/>
  <c r="BA21" i="21" s="1"/>
  <c r="BB21" i="21" s="1"/>
  <c r="BC21" i="21" s="1"/>
  <c r="BD21" i="21" s="1"/>
  <c r="BE21" i="21" s="1"/>
  <c r="BF21" i="21" s="1"/>
  <c r="BG21" i="21" s="1"/>
  <c r="J21" i="21"/>
  <c r="I21" i="21"/>
  <c r="H21" i="21"/>
  <c r="G21" i="21"/>
  <c r="BD20" i="21"/>
  <c r="BE20" i="21" s="1"/>
  <c r="BF20" i="21" s="1"/>
  <c r="BG20" i="21" s="1"/>
  <c r="AS20" i="21"/>
  <c r="AT20" i="21" s="1"/>
  <c r="AU20" i="21" s="1"/>
  <c r="AV20" i="21" s="1"/>
  <c r="AW20" i="21" s="1"/>
  <c r="AX20" i="21" s="1"/>
  <c r="AY20" i="21" s="1"/>
  <c r="AZ20" i="21" s="1"/>
  <c r="BA20" i="21" s="1"/>
  <c r="BB20" i="21" s="1"/>
  <c r="BC20" i="21" s="1"/>
  <c r="AV19" i="21"/>
  <c r="AW19" i="21" s="1"/>
  <c r="AX19" i="21" s="1"/>
  <c r="AY19" i="21" s="1"/>
  <c r="AZ19" i="21" s="1"/>
  <c r="BA19" i="21" s="1"/>
  <c r="BB19" i="21" s="1"/>
  <c r="BC19" i="21" s="1"/>
  <c r="BD19" i="21" s="1"/>
  <c r="BE19" i="21" s="1"/>
  <c r="BF19" i="21" s="1"/>
  <c r="BG19" i="21" s="1"/>
  <c r="AS19" i="21"/>
  <c r="AT19" i="21" s="1"/>
  <c r="AU19" i="21" s="1"/>
  <c r="BD18" i="21"/>
  <c r="BE18" i="21" s="1"/>
  <c r="BF18" i="21" s="1"/>
  <c r="BG18" i="21" s="1"/>
  <c r="AU18" i="21"/>
  <c r="AV18" i="21" s="1"/>
  <c r="AW18" i="21" s="1"/>
  <c r="AX18" i="21" s="1"/>
  <c r="AY18" i="21" s="1"/>
  <c r="AZ18" i="21" s="1"/>
  <c r="BA18" i="21" s="1"/>
  <c r="BB18" i="21" s="1"/>
  <c r="BC18" i="21" s="1"/>
  <c r="AS18" i="21"/>
  <c r="AT18" i="21" s="1"/>
  <c r="D18" i="21"/>
  <c r="AV17" i="21"/>
  <c r="AW17" i="21" s="1"/>
  <c r="AX17" i="21" s="1"/>
  <c r="AY17" i="21" s="1"/>
  <c r="AZ17" i="21" s="1"/>
  <c r="BA17" i="21" s="1"/>
  <c r="BB17" i="21" s="1"/>
  <c r="BC17" i="21" s="1"/>
  <c r="BD17" i="21" s="1"/>
  <c r="BE17" i="21" s="1"/>
  <c r="BF17" i="21" s="1"/>
  <c r="BG17" i="21" s="1"/>
  <c r="AS17" i="21"/>
  <c r="AT17" i="21" s="1"/>
  <c r="AU17" i="21" s="1"/>
  <c r="AV16" i="21"/>
  <c r="AW16" i="21" s="1"/>
  <c r="AX16" i="21" s="1"/>
  <c r="AY16" i="21" s="1"/>
  <c r="AZ16" i="21" s="1"/>
  <c r="BA16" i="21" s="1"/>
  <c r="BB16" i="21" s="1"/>
  <c r="BC16" i="21" s="1"/>
  <c r="BD16" i="21" s="1"/>
  <c r="BE16" i="21" s="1"/>
  <c r="BF16" i="21" s="1"/>
  <c r="BG16" i="21" s="1"/>
  <c r="AS16" i="21"/>
  <c r="AT16" i="21" s="1"/>
  <c r="AU16" i="21" s="1"/>
  <c r="J16" i="21"/>
  <c r="I16" i="21"/>
  <c r="H16" i="21"/>
  <c r="G16" i="21"/>
  <c r="AS15" i="21"/>
  <c r="AT15" i="21" s="1"/>
  <c r="AU15" i="21" s="1"/>
  <c r="AV15" i="21" s="1"/>
  <c r="AW15" i="21" s="1"/>
  <c r="AX15" i="21" s="1"/>
  <c r="AY15" i="21" s="1"/>
  <c r="AZ15" i="21" s="1"/>
  <c r="BA15" i="21" s="1"/>
  <c r="BB15" i="21" s="1"/>
  <c r="BC15" i="21" s="1"/>
  <c r="BD15" i="21" s="1"/>
  <c r="BE15" i="21" s="1"/>
  <c r="BF15" i="21" s="1"/>
  <c r="BG15" i="21" s="1"/>
  <c r="AS14" i="21"/>
  <c r="AT14" i="21" s="1"/>
  <c r="AU14" i="21" s="1"/>
  <c r="AV14" i="21" s="1"/>
  <c r="AW14" i="21" s="1"/>
  <c r="AX14" i="21" s="1"/>
  <c r="AY14" i="21" s="1"/>
  <c r="AZ14" i="21" s="1"/>
  <c r="BA14" i="21" s="1"/>
  <c r="BB14" i="21" s="1"/>
  <c r="BC14" i="21" s="1"/>
  <c r="BD14" i="21" s="1"/>
  <c r="BE14" i="21" s="1"/>
  <c r="BF14" i="21" s="1"/>
  <c r="BG14" i="21" s="1"/>
  <c r="AP14" i="21"/>
  <c r="E14" i="21"/>
  <c r="AT13" i="21"/>
  <c r="AU13" i="21" s="1"/>
  <c r="AV13" i="21" s="1"/>
  <c r="AW13" i="21" s="1"/>
  <c r="AX13" i="21" s="1"/>
  <c r="AY13" i="21" s="1"/>
  <c r="AZ13" i="21" s="1"/>
  <c r="BA13" i="21" s="1"/>
  <c r="BB13" i="21" s="1"/>
  <c r="BC13" i="21" s="1"/>
  <c r="BD13" i="21" s="1"/>
  <c r="BE13" i="21" s="1"/>
  <c r="BF13" i="21" s="1"/>
  <c r="BG13" i="21" s="1"/>
  <c r="AS13" i="21"/>
  <c r="E13" i="21"/>
  <c r="AS12" i="21"/>
  <c r="AT12" i="21" s="1"/>
  <c r="AU12" i="21" s="1"/>
  <c r="AV12" i="21" s="1"/>
  <c r="AW12" i="21" s="1"/>
  <c r="AX12" i="21" s="1"/>
  <c r="AY12" i="21" s="1"/>
  <c r="AZ12" i="21" s="1"/>
  <c r="BA12" i="21" s="1"/>
  <c r="BB12" i="21" s="1"/>
  <c r="BC12" i="21" s="1"/>
  <c r="BD12" i="21" s="1"/>
  <c r="BE12" i="21" s="1"/>
  <c r="BF12" i="21" s="1"/>
  <c r="BG12" i="21" s="1"/>
  <c r="E12" i="21"/>
  <c r="AS11" i="21"/>
  <c r="AT11" i="21" s="1"/>
  <c r="AU11" i="21" s="1"/>
  <c r="AV11" i="21" s="1"/>
  <c r="AW11" i="21" s="1"/>
  <c r="AX11" i="21" s="1"/>
  <c r="AY11" i="21" s="1"/>
  <c r="AZ11" i="21" s="1"/>
  <c r="BA11" i="21" s="1"/>
  <c r="BB11" i="21" s="1"/>
  <c r="BC11" i="21" s="1"/>
  <c r="BD11" i="21" s="1"/>
  <c r="BE11" i="21" s="1"/>
  <c r="BF11" i="21" s="1"/>
  <c r="BG11" i="21" s="1"/>
  <c r="AP11" i="21"/>
  <c r="E11" i="21"/>
  <c r="BE10" i="21"/>
  <c r="BF10" i="21" s="1"/>
  <c r="BG10" i="21" s="1"/>
  <c r="BD10" i="21"/>
  <c r="AS10" i="21"/>
  <c r="AT10" i="21" s="1"/>
  <c r="AU10" i="21" s="1"/>
  <c r="AV10" i="21" s="1"/>
  <c r="AW10" i="21" s="1"/>
  <c r="AX10" i="21" s="1"/>
  <c r="AY10" i="21" s="1"/>
  <c r="AZ10" i="21" s="1"/>
  <c r="BA10" i="21" s="1"/>
  <c r="BB10" i="21" s="1"/>
  <c r="BC10" i="21" s="1"/>
  <c r="E10" i="21"/>
  <c r="AT9" i="21"/>
  <c r="AU9" i="21" s="1"/>
  <c r="AV9" i="21" s="1"/>
  <c r="AW9" i="21" s="1"/>
  <c r="AX9" i="21" s="1"/>
  <c r="AY9" i="21" s="1"/>
  <c r="AZ9" i="21" s="1"/>
  <c r="BA9" i="21" s="1"/>
  <c r="BB9" i="21" s="1"/>
  <c r="BC9" i="21" s="1"/>
  <c r="BD9" i="21" s="1"/>
  <c r="BE9" i="21" s="1"/>
  <c r="BF9" i="21" s="1"/>
  <c r="BG9" i="21" s="1"/>
  <c r="AS9" i="21"/>
  <c r="AP9" i="21"/>
  <c r="E9" i="21"/>
  <c r="AU8" i="21"/>
  <c r="AV8" i="21" s="1"/>
  <c r="AW8" i="21" s="1"/>
  <c r="AX8" i="21" s="1"/>
  <c r="AY8" i="21" s="1"/>
  <c r="AZ8" i="21" s="1"/>
  <c r="BA8" i="21" s="1"/>
  <c r="BB8" i="21" s="1"/>
  <c r="BC8" i="21" s="1"/>
  <c r="BD8" i="21" s="1"/>
  <c r="BE8" i="21" s="1"/>
  <c r="BF8" i="21" s="1"/>
  <c r="BG8" i="21" s="1"/>
  <c r="AS8" i="21"/>
  <c r="AT8" i="21" s="1"/>
  <c r="E8" i="21"/>
  <c r="BE7" i="21"/>
  <c r="BF7" i="21" s="1"/>
  <c r="BG7" i="21" s="1"/>
  <c r="BD7" i="21"/>
  <c r="AS7" i="21"/>
  <c r="AT7" i="21" s="1"/>
  <c r="AU7" i="21" s="1"/>
  <c r="AV7" i="21" s="1"/>
  <c r="AW7" i="21" s="1"/>
  <c r="AX7" i="21" s="1"/>
  <c r="AY7" i="21" s="1"/>
  <c r="AZ7" i="21" s="1"/>
  <c r="BA7" i="21" s="1"/>
  <c r="BB7" i="21" s="1"/>
  <c r="BC7" i="21" s="1"/>
  <c r="AP7" i="21"/>
  <c r="E7" i="21"/>
  <c r="AS6" i="21"/>
  <c r="AT6" i="21" s="1"/>
  <c r="AU6" i="21" s="1"/>
  <c r="AV6" i="21" s="1"/>
  <c r="AW6" i="21" s="1"/>
  <c r="AX6" i="21" s="1"/>
  <c r="AY6" i="21" s="1"/>
  <c r="AZ6" i="21" s="1"/>
  <c r="BA6" i="21" s="1"/>
  <c r="BB6" i="21" s="1"/>
  <c r="BC6" i="21" s="1"/>
  <c r="BD6" i="21" s="1"/>
  <c r="BE6" i="21" s="1"/>
  <c r="BF6" i="21" s="1"/>
  <c r="BG6" i="21" s="1"/>
  <c r="E6" i="21"/>
  <c r="BD5" i="21"/>
  <c r="BE5" i="21" s="1"/>
  <c r="BF5" i="21" s="1"/>
  <c r="BG5" i="21" s="1"/>
  <c r="AS5" i="21"/>
  <c r="AT5" i="21" s="1"/>
  <c r="AU5" i="21" s="1"/>
  <c r="AV5" i="21" s="1"/>
  <c r="AW5" i="21" s="1"/>
  <c r="AX5" i="21" s="1"/>
  <c r="AY5" i="21" s="1"/>
  <c r="AZ5" i="21" s="1"/>
  <c r="BA5" i="21" s="1"/>
  <c r="BB5" i="21" s="1"/>
  <c r="BC5" i="21" s="1"/>
  <c r="E5" i="21"/>
  <c r="BE4" i="21"/>
  <c r="BF4" i="21" s="1"/>
  <c r="BG4" i="21" s="1"/>
  <c r="BD4" i="21"/>
  <c r="AS4" i="21"/>
  <c r="AT4" i="21" s="1"/>
  <c r="AU4" i="21" s="1"/>
  <c r="AV4" i="21" s="1"/>
  <c r="AW4" i="21" s="1"/>
  <c r="AX4" i="21" s="1"/>
  <c r="AY4" i="21" s="1"/>
  <c r="AZ4" i="21" s="1"/>
  <c r="BA4" i="21" s="1"/>
  <c r="BB4" i="21" s="1"/>
  <c r="BC4" i="21" s="1"/>
  <c r="AP4" i="21"/>
  <c r="E4" i="21"/>
  <c r="BD3" i="21"/>
  <c r="BE3" i="21" s="1"/>
  <c r="BF3" i="21" s="1"/>
  <c r="BG3" i="21" s="1"/>
  <c r="AS3" i="21"/>
  <c r="AT3" i="21" s="1"/>
  <c r="AU3" i="21" s="1"/>
  <c r="AV3" i="21" s="1"/>
  <c r="AW3" i="21" s="1"/>
  <c r="AX3" i="21" s="1"/>
  <c r="AY3" i="21" s="1"/>
  <c r="AZ3" i="21" s="1"/>
  <c r="BA3" i="21" s="1"/>
  <c r="BB3" i="21" s="1"/>
  <c r="BC3" i="21" s="1"/>
  <c r="AS2" i="21"/>
  <c r="AT2" i="21" s="1"/>
  <c r="AU2" i="21" s="1"/>
  <c r="AV2" i="21" s="1"/>
  <c r="AW2" i="21" s="1"/>
  <c r="AX2" i="21" s="1"/>
  <c r="AY2" i="21" s="1"/>
  <c r="AZ2" i="21" s="1"/>
  <c r="BA2" i="21" s="1"/>
  <c r="BB2" i="21" s="1"/>
  <c r="BC2" i="21" s="1"/>
  <c r="BD2" i="21" s="1"/>
  <c r="BE2" i="21" s="1"/>
  <c r="BF2" i="21" s="1"/>
  <c r="BG2" i="21" s="1"/>
  <c r="E5" i="6"/>
  <c r="E6" i="6"/>
  <c r="E7" i="6"/>
  <c r="E8" i="6"/>
  <c r="E9" i="6"/>
  <c r="E10" i="6"/>
  <c r="E11" i="6"/>
  <c r="E12" i="6"/>
  <c r="E13" i="6"/>
  <c r="E14" i="6"/>
  <c r="E4" i="6"/>
  <c r="AM10" i="6"/>
  <c r="AN10" i="6" s="1"/>
  <c r="AM15" i="6"/>
  <c r="AN15" i="6" s="1"/>
  <c r="AM23" i="6"/>
  <c r="AN23" i="6" s="1"/>
  <c r="AM31" i="6"/>
  <c r="AN31" i="6" s="1"/>
  <c r="AM39" i="6"/>
  <c r="AN39" i="6" s="1"/>
  <c r="AM50" i="6"/>
  <c r="AN50" i="6" s="1"/>
  <c r="AM55" i="6"/>
  <c r="AN55" i="6" s="1"/>
  <c r="AM58" i="6"/>
  <c r="AN58" i="6" s="1"/>
  <c r="AM2" i="6"/>
  <c r="AN2" i="6" s="1"/>
  <c r="AN3" i="6"/>
  <c r="AK13" i="6"/>
  <c r="AL13" i="6" s="1"/>
  <c r="AM13" i="6" s="1"/>
  <c r="AN13" i="6" s="1"/>
  <c r="AK30" i="6"/>
  <c r="AL30" i="6" s="1"/>
  <c r="AM30" i="6" s="1"/>
  <c r="AN30" i="6" s="1"/>
  <c r="AK42" i="6"/>
  <c r="AL42" i="6" s="1"/>
  <c r="AM42" i="6" s="1"/>
  <c r="AN42" i="6" s="1"/>
  <c r="AK43" i="6"/>
  <c r="AL43" i="6" s="1"/>
  <c r="AM43" i="6" s="1"/>
  <c r="AN43" i="6" s="1"/>
  <c r="AK55" i="6"/>
  <c r="AL55" i="6" s="1"/>
  <c r="Z3" i="6"/>
  <c r="AA3" i="6" s="1"/>
  <c r="AB3" i="6" s="1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Z4" i="6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AL4" i="6" s="1"/>
  <c r="AM4" i="6" s="1"/>
  <c r="AN4" i="6" s="1"/>
  <c r="Z5" i="6"/>
  <c r="AA5" i="6" s="1"/>
  <c r="AB5" i="6" s="1"/>
  <c r="AC5" i="6" s="1"/>
  <c r="AD5" i="6" s="1"/>
  <c r="AE5" i="6" s="1"/>
  <c r="AF5" i="6" s="1"/>
  <c r="AG5" i="6" s="1"/>
  <c r="AH5" i="6" s="1"/>
  <c r="AI5" i="6" s="1"/>
  <c r="AJ5" i="6" s="1"/>
  <c r="AK5" i="6" s="1"/>
  <c r="AL5" i="6" s="1"/>
  <c r="AM5" i="6" s="1"/>
  <c r="AN5" i="6" s="1"/>
  <c r="Z6" i="6"/>
  <c r="AA6" i="6" s="1"/>
  <c r="AB6" i="6" s="1"/>
  <c r="AC6" i="6" s="1"/>
  <c r="AD6" i="6" s="1"/>
  <c r="AE6" i="6" s="1"/>
  <c r="AF6" i="6" s="1"/>
  <c r="AG6" i="6" s="1"/>
  <c r="AH6" i="6" s="1"/>
  <c r="AI6" i="6" s="1"/>
  <c r="AJ6" i="6" s="1"/>
  <c r="AK6" i="6" s="1"/>
  <c r="AL6" i="6" s="1"/>
  <c r="AM6" i="6" s="1"/>
  <c r="AN6" i="6" s="1"/>
  <c r="Z7" i="6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Z8" i="6"/>
  <c r="AA8" i="6" s="1"/>
  <c r="AB8" i="6" s="1"/>
  <c r="AC8" i="6" s="1"/>
  <c r="AD8" i="6" s="1"/>
  <c r="AE8" i="6" s="1"/>
  <c r="AF8" i="6" s="1"/>
  <c r="AG8" i="6" s="1"/>
  <c r="AH8" i="6" s="1"/>
  <c r="AI8" i="6" s="1"/>
  <c r="AJ8" i="6" s="1"/>
  <c r="AK8" i="6" s="1"/>
  <c r="AL8" i="6" s="1"/>
  <c r="AM8" i="6" s="1"/>
  <c r="AN8" i="6" s="1"/>
  <c r="Z9" i="6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Z10" i="6"/>
  <c r="AA10" i="6" s="1"/>
  <c r="AB10" i="6" s="1"/>
  <c r="AC10" i="6" s="1"/>
  <c r="AD10" i="6" s="1"/>
  <c r="AE10" i="6" s="1"/>
  <c r="AF10" i="6" s="1"/>
  <c r="AG10" i="6" s="1"/>
  <c r="AH10" i="6" s="1"/>
  <c r="AI10" i="6" s="1"/>
  <c r="AJ10" i="6" s="1"/>
  <c r="AK10" i="6" s="1"/>
  <c r="AL10" i="6" s="1"/>
  <c r="Z11" i="6"/>
  <c r="AA11" i="6" s="1"/>
  <c r="AB11" i="6" s="1"/>
  <c r="AC11" i="6" s="1"/>
  <c r="AD11" i="6" s="1"/>
  <c r="AE11" i="6" s="1"/>
  <c r="AF11" i="6" s="1"/>
  <c r="AG11" i="6" s="1"/>
  <c r="AH11" i="6" s="1"/>
  <c r="AI11" i="6" s="1"/>
  <c r="AJ11" i="6" s="1"/>
  <c r="AK11" i="6" s="1"/>
  <c r="AL11" i="6" s="1"/>
  <c r="AM11" i="6" s="1"/>
  <c r="AN11" i="6" s="1"/>
  <c r="Z12" i="6"/>
  <c r="AA12" i="6" s="1"/>
  <c r="AB12" i="6" s="1"/>
  <c r="AC12" i="6" s="1"/>
  <c r="AD12" i="6" s="1"/>
  <c r="AE12" i="6" s="1"/>
  <c r="AF12" i="6" s="1"/>
  <c r="AG12" i="6" s="1"/>
  <c r="AH12" i="6" s="1"/>
  <c r="AI12" i="6" s="1"/>
  <c r="AJ12" i="6" s="1"/>
  <c r="AK12" i="6" s="1"/>
  <c r="AL12" i="6" s="1"/>
  <c r="AM12" i="6" s="1"/>
  <c r="AN12" i="6" s="1"/>
  <c r="Z13" i="6"/>
  <c r="AA13" i="6" s="1"/>
  <c r="AB13" i="6" s="1"/>
  <c r="AC13" i="6" s="1"/>
  <c r="AD13" i="6" s="1"/>
  <c r="AE13" i="6" s="1"/>
  <c r="AF13" i="6" s="1"/>
  <c r="AG13" i="6" s="1"/>
  <c r="AH13" i="6" s="1"/>
  <c r="AI13" i="6" s="1"/>
  <c r="AJ13" i="6" s="1"/>
  <c r="Z14" i="6"/>
  <c r="AA14" i="6" s="1"/>
  <c r="AB14" i="6" s="1"/>
  <c r="AC14" i="6" s="1"/>
  <c r="AD14" i="6" s="1"/>
  <c r="AE14" i="6" s="1"/>
  <c r="AF14" i="6" s="1"/>
  <c r="AG14" i="6" s="1"/>
  <c r="AH14" i="6" s="1"/>
  <c r="AI14" i="6" s="1"/>
  <c r="AJ14" i="6" s="1"/>
  <c r="AK14" i="6" s="1"/>
  <c r="AL14" i="6" s="1"/>
  <c r="AM14" i="6" s="1"/>
  <c r="AN14" i="6" s="1"/>
  <c r="Z15" i="6"/>
  <c r="AA15" i="6" s="1"/>
  <c r="AB15" i="6" s="1"/>
  <c r="AC15" i="6" s="1"/>
  <c r="AD15" i="6" s="1"/>
  <c r="AE15" i="6" s="1"/>
  <c r="AF15" i="6" s="1"/>
  <c r="AG15" i="6" s="1"/>
  <c r="AH15" i="6" s="1"/>
  <c r="AI15" i="6" s="1"/>
  <c r="AJ15" i="6" s="1"/>
  <c r="AK15" i="6" s="1"/>
  <c r="AL15" i="6" s="1"/>
  <c r="Z16" i="6"/>
  <c r="AA16" i="6" s="1"/>
  <c r="AB16" i="6" s="1"/>
  <c r="AC16" i="6" s="1"/>
  <c r="AD16" i="6" s="1"/>
  <c r="AE16" i="6" s="1"/>
  <c r="AF16" i="6" s="1"/>
  <c r="AG16" i="6" s="1"/>
  <c r="AH16" i="6" s="1"/>
  <c r="AI16" i="6" s="1"/>
  <c r="AJ16" i="6" s="1"/>
  <c r="AK16" i="6" s="1"/>
  <c r="AL16" i="6" s="1"/>
  <c r="AM16" i="6" s="1"/>
  <c r="AN16" i="6" s="1"/>
  <c r="Z17" i="6"/>
  <c r="AA17" i="6" s="1"/>
  <c r="AB17" i="6" s="1"/>
  <c r="AC17" i="6" s="1"/>
  <c r="AD17" i="6" s="1"/>
  <c r="AE17" i="6" s="1"/>
  <c r="AF17" i="6" s="1"/>
  <c r="AG17" i="6" s="1"/>
  <c r="AH17" i="6" s="1"/>
  <c r="AI17" i="6" s="1"/>
  <c r="AJ17" i="6" s="1"/>
  <c r="AK17" i="6" s="1"/>
  <c r="AL17" i="6" s="1"/>
  <c r="AM17" i="6" s="1"/>
  <c r="AN17" i="6" s="1"/>
  <c r="Z18" i="6"/>
  <c r="AA18" i="6" s="1"/>
  <c r="AB18" i="6" s="1"/>
  <c r="AC18" i="6" s="1"/>
  <c r="AD18" i="6" s="1"/>
  <c r="AE18" i="6" s="1"/>
  <c r="AF18" i="6" s="1"/>
  <c r="AG18" i="6" s="1"/>
  <c r="AH18" i="6" s="1"/>
  <c r="AI18" i="6" s="1"/>
  <c r="AJ18" i="6" s="1"/>
  <c r="AK18" i="6" s="1"/>
  <c r="AL18" i="6" s="1"/>
  <c r="AM18" i="6" s="1"/>
  <c r="AN18" i="6" s="1"/>
  <c r="Z19" i="6"/>
  <c r="AA19" i="6" s="1"/>
  <c r="AB19" i="6" s="1"/>
  <c r="AC19" i="6" s="1"/>
  <c r="AD19" i="6" s="1"/>
  <c r="AE19" i="6" s="1"/>
  <c r="AF19" i="6" s="1"/>
  <c r="AG19" i="6" s="1"/>
  <c r="AH19" i="6" s="1"/>
  <c r="AI19" i="6" s="1"/>
  <c r="AJ19" i="6" s="1"/>
  <c r="AK19" i="6" s="1"/>
  <c r="AL19" i="6" s="1"/>
  <c r="AM19" i="6" s="1"/>
  <c r="AN19" i="6" s="1"/>
  <c r="Z20" i="6"/>
  <c r="AA20" i="6" s="1"/>
  <c r="AB20" i="6" s="1"/>
  <c r="AC20" i="6" s="1"/>
  <c r="AD20" i="6" s="1"/>
  <c r="AE20" i="6" s="1"/>
  <c r="AF20" i="6" s="1"/>
  <c r="AG20" i="6" s="1"/>
  <c r="AH20" i="6" s="1"/>
  <c r="AI20" i="6" s="1"/>
  <c r="AJ20" i="6" s="1"/>
  <c r="AK20" i="6" s="1"/>
  <c r="AL20" i="6" s="1"/>
  <c r="AM20" i="6" s="1"/>
  <c r="AN20" i="6" s="1"/>
  <c r="Z21" i="6"/>
  <c r="AA21" i="6" s="1"/>
  <c r="AB21" i="6" s="1"/>
  <c r="AC21" i="6" s="1"/>
  <c r="AD21" i="6" s="1"/>
  <c r="AE21" i="6" s="1"/>
  <c r="AF21" i="6" s="1"/>
  <c r="AG21" i="6" s="1"/>
  <c r="AH21" i="6" s="1"/>
  <c r="AI21" i="6" s="1"/>
  <c r="AJ21" i="6" s="1"/>
  <c r="AK21" i="6" s="1"/>
  <c r="AL21" i="6" s="1"/>
  <c r="AM21" i="6" s="1"/>
  <c r="AN21" i="6" s="1"/>
  <c r="Z22" i="6"/>
  <c r="AA22" i="6" s="1"/>
  <c r="AB22" i="6" s="1"/>
  <c r="AC22" i="6" s="1"/>
  <c r="AD22" i="6" s="1"/>
  <c r="AE22" i="6" s="1"/>
  <c r="AF22" i="6" s="1"/>
  <c r="AG22" i="6" s="1"/>
  <c r="AH22" i="6" s="1"/>
  <c r="AI22" i="6" s="1"/>
  <c r="AJ22" i="6" s="1"/>
  <c r="AK22" i="6" s="1"/>
  <c r="AL22" i="6" s="1"/>
  <c r="AM22" i="6" s="1"/>
  <c r="AN22" i="6" s="1"/>
  <c r="Z23" i="6"/>
  <c r="AA23" i="6" s="1"/>
  <c r="AB23" i="6" s="1"/>
  <c r="AC23" i="6" s="1"/>
  <c r="AD23" i="6" s="1"/>
  <c r="AE23" i="6" s="1"/>
  <c r="AF23" i="6" s="1"/>
  <c r="AG23" i="6" s="1"/>
  <c r="AH23" i="6" s="1"/>
  <c r="AI23" i="6" s="1"/>
  <c r="AJ23" i="6" s="1"/>
  <c r="AK23" i="6" s="1"/>
  <c r="AL23" i="6" s="1"/>
  <c r="Z24" i="6"/>
  <c r="AA24" i="6" s="1"/>
  <c r="AB24" i="6" s="1"/>
  <c r="AC24" i="6" s="1"/>
  <c r="AD24" i="6" s="1"/>
  <c r="AE24" i="6" s="1"/>
  <c r="AF24" i="6" s="1"/>
  <c r="AG24" i="6" s="1"/>
  <c r="AH24" i="6" s="1"/>
  <c r="AI24" i="6" s="1"/>
  <c r="AJ24" i="6" s="1"/>
  <c r="AK24" i="6" s="1"/>
  <c r="AL24" i="6" s="1"/>
  <c r="AM24" i="6" s="1"/>
  <c r="AN24" i="6" s="1"/>
  <c r="Z25" i="6"/>
  <c r="AA25" i="6" s="1"/>
  <c r="AB25" i="6" s="1"/>
  <c r="AC25" i="6" s="1"/>
  <c r="AD25" i="6" s="1"/>
  <c r="AE25" i="6" s="1"/>
  <c r="AF25" i="6" s="1"/>
  <c r="AG25" i="6" s="1"/>
  <c r="AH25" i="6" s="1"/>
  <c r="AI25" i="6" s="1"/>
  <c r="AJ25" i="6" s="1"/>
  <c r="AK25" i="6" s="1"/>
  <c r="AL25" i="6" s="1"/>
  <c r="AM25" i="6" s="1"/>
  <c r="AN25" i="6" s="1"/>
  <c r="Z26" i="6"/>
  <c r="AA26" i="6" s="1"/>
  <c r="AB26" i="6" s="1"/>
  <c r="AC26" i="6" s="1"/>
  <c r="AD26" i="6" s="1"/>
  <c r="AE26" i="6" s="1"/>
  <c r="AF26" i="6" s="1"/>
  <c r="AG26" i="6" s="1"/>
  <c r="AH26" i="6" s="1"/>
  <c r="AI26" i="6" s="1"/>
  <c r="AJ26" i="6" s="1"/>
  <c r="AK26" i="6" s="1"/>
  <c r="AL26" i="6" s="1"/>
  <c r="AM26" i="6" s="1"/>
  <c r="AN26" i="6" s="1"/>
  <c r="Z27" i="6"/>
  <c r="AA27" i="6" s="1"/>
  <c r="AB27" i="6" s="1"/>
  <c r="AC27" i="6" s="1"/>
  <c r="AD27" i="6" s="1"/>
  <c r="AE27" i="6" s="1"/>
  <c r="AF27" i="6" s="1"/>
  <c r="AG27" i="6" s="1"/>
  <c r="AH27" i="6" s="1"/>
  <c r="AI27" i="6" s="1"/>
  <c r="AJ27" i="6" s="1"/>
  <c r="AK27" i="6" s="1"/>
  <c r="AL27" i="6" s="1"/>
  <c r="AM27" i="6" s="1"/>
  <c r="AN27" i="6" s="1"/>
  <c r="Z28" i="6"/>
  <c r="AA28" i="6" s="1"/>
  <c r="AB28" i="6" s="1"/>
  <c r="AC28" i="6" s="1"/>
  <c r="AD28" i="6" s="1"/>
  <c r="AE28" i="6" s="1"/>
  <c r="AF28" i="6" s="1"/>
  <c r="AG28" i="6" s="1"/>
  <c r="AH28" i="6" s="1"/>
  <c r="AI28" i="6" s="1"/>
  <c r="AJ28" i="6" s="1"/>
  <c r="AK28" i="6" s="1"/>
  <c r="AL28" i="6" s="1"/>
  <c r="AM28" i="6" s="1"/>
  <c r="AN28" i="6" s="1"/>
  <c r="Z29" i="6"/>
  <c r="AA29" i="6" s="1"/>
  <c r="AB29" i="6" s="1"/>
  <c r="AC29" i="6" s="1"/>
  <c r="AD29" i="6" s="1"/>
  <c r="AE29" i="6" s="1"/>
  <c r="AF29" i="6" s="1"/>
  <c r="AG29" i="6" s="1"/>
  <c r="AH29" i="6" s="1"/>
  <c r="AI29" i="6" s="1"/>
  <c r="AJ29" i="6" s="1"/>
  <c r="AK29" i="6" s="1"/>
  <c r="AL29" i="6" s="1"/>
  <c r="AM29" i="6" s="1"/>
  <c r="AN29" i="6" s="1"/>
  <c r="Z30" i="6"/>
  <c r="AA30" i="6" s="1"/>
  <c r="AB30" i="6" s="1"/>
  <c r="AC30" i="6" s="1"/>
  <c r="AD30" i="6" s="1"/>
  <c r="AE30" i="6" s="1"/>
  <c r="AF30" i="6" s="1"/>
  <c r="AG30" i="6" s="1"/>
  <c r="AH30" i="6" s="1"/>
  <c r="AI30" i="6" s="1"/>
  <c r="AJ30" i="6" s="1"/>
  <c r="Z31" i="6"/>
  <c r="AA31" i="6" s="1"/>
  <c r="AB31" i="6" s="1"/>
  <c r="AC31" i="6" s="1"/>
  <c r="AD31" i="6" s="1"/>
  <c r="AE31" i="6" s="1"/>
  <c r="AF31" i="6" s="1"/>
  <c r="AG31" i="6" s="1"/>
  <c r="AH31" i="6" s="1"/>
  <c r="AI31" i="6" s="1"/>
  <c r="AJ31" i="6" s="1"/>
  <c r="AK31" i="6" s="1"/>
  <c r="AL31" i="6" s="1"/>
  <c r="Z32" i="6"/>
  <c r="AA32" i="6" s="1"/>
  <c r="AB32" i="6" s="1"/>
  <c r="AC32" i="6" s="1"/>
  <c r="AD32" i="6" s="1"/>
  <c r="AE32" i="6" s="1"/>
  <c r="AF32" i="6" s="1"/>
  <c r="AG32" i="6" s="1"/>
  <c r="AH32" i="6" s="1"/>
  <c r="AI32" i="6" s="1"/>
  <c r="AJ32" i="6" s="1"/>
  <c r="AK32" i="6" s="1"/>
  <c r="AL32" i="6" s="1"/>
  <c r="AM32" i="6" s="1"/>
  <c r="AN32" i="6" s="1"/>
  <c r="Z33" i="6"/>
  <c r="AA33" i="6" s="1"/>
  <c r="AB33" i="6" s="1"/>
  <c r="AC33" i="6" s="1"/>
  <c r="AD33" i="6" s="1"/>
  <c r="AE33" i="6" s="1"/>
  <c r="AF33" i="6" s="1"/>
  <c r="AG33" i="6" s="1"/>
  <c r="AH33" i="6" s="1"/>
  <c r="AI33" i="6" s="1"/>
  <c r="AJ33" i="6" s="1"/>
  <c r="AK33" i="6" s="1"/>
  <c r="AL33" i="6" s="1"/>
  <c r="AM33" i="6" s="1"/>
  <c r="AN33" i="6" s="1"/>
  <c r="Z34" i="6"/>
  <c r="AA34" i="6" s="1"/>
  <c r="AB34" i="6" s="1"/>
  <c r="AC34" i="6" s="1"/>
  <c r="AD34" i="6" s="1"/>
  <c r="AE34" i="6" s="1"/>
  <c r="AF34" i="6" s="1"/>
  <c r="AG34" i="6" s="1"/>
  <c r="AH34" i="6" s="1"/>
  <c r="AI34" i="6" s="1"/>
  <c r="AJ34" i="6" s="1"/>
  <c r="AK34" i="6" s="1"/>
  <c r="AL34" i="6" s="1"/>
  <c r="AM34" i="6" s="1"/>
  <c r="AN34" i="6" s="1"/>
  <c r="Z35" i="6"/>
  <c r="AA35" i="6" s="1"/>
  <c r="AB35" i="6" s="1"/>
  <c r="AC35" i="6" s="1"/>
  <c r="AD35" i="6" s="1"/>
  <c r="AE35" i="6" s="1"/>
  <c r="AF35" i="6" s="1"/>
  <c r="AG35" i="6" s="1"/>
  <c r="AH35" i="6" s="1"/>
  <c r="AI35" i="6" s="1"/>
  <c r="AJ35" i="6" s="1"/>
  <c r="AK35" i="6" s="1"/>
  <c r="AL35" i="6" s="1"/>
  <c r="AM35" i="6" s="1"/>
  <c r="AN35" i="6" s="1"/>
  <c r="Z36" i="6"/>
  <c r="AA36" i="6" s="1"/>
  <c r="AB36" i="6" s="1"/>
  <c r="AC36" i="6" s="1"/>
  <c r="AD36" i="6" s="1"/>
  <c r="AE36" i="6" s="1"/>
  <c r="AF36" i="6" s="1"/>
  <c r="AG36" i="6" s="1"/>
  <c r="AH36" i="6" s="1"/>
  <c r="AI36" i="6" s="1"/>
  <c r="AJ36" i="6" s="1"/>
  <c r="AK36" i="6" s="1"/>
  <c r="AL36" i="6" s="1"/>
  <c r="AM36" i="6" s="1"/>
  <c r="AN36" i="6" s="1"/>
  <c r="Z37" i="6"/>
  <c r="AA37" i="6" s="1"/>
  <c r="AB37" i="6" s="1"/>
  <c r="AC37" i="6" s="1"/>
  <c r="AD37" i="6" s="1"/>
  <c r="AE37" i="6" s="1"/>
  <c r="AF37" i="6" s="1"/>
  <c r="AG37" i="6" s="1"/>
  <c r="AH37" i="6" s="1"/>
  <c r="AI37" i="6" s="1"/>
  <c r="AJ37" i="6" s="1"/>
  <c r="AK37" i="6" s="1"/>
  <c r="AL37" i="6" s="1"/>
  <c r="AM37" i="6" s="1"/>
  <c r="AN37" i="6" s="1"/>
  <c r="Z38" i="6"/>
  <c r="AA38" i="6" s="1"/>
  <c r="AB38" i="6" s="1"/>
  <c r="AC38" i="6" s="1"/>
  <c r="AD38" i="6" s="1"/>
  <c r="AE38" i="6" s="1"/>
  <c r="AF38" i="6" s="1"/>
  <c r="AG38" i="6" s="1"/>
  <c r="AH38" i="6" s="1"/>
  <c r="AI38" i="6" s="1"/>
  <c r="AJ38" i="6" s="1"/>
  <c r="AK38" i="6" s="1"/>
  <c r="AL38" i="6" s="1"/>
  <c r="AM38" i="6" s="1"/>
  <c r="AN38" i="6" s="1"/>
  <c r="Z39" i="6"/>
  <c r="AA39" i="6" s="1"/>
  <c r="AB39" i="6" s="1"/>
  <c r="AC39" i="6" s="1"/>
  <c r="AD39" i="6" s="1"/>
  <c r="AE39" i="6" s="1"/>
  <c r="AF39" i="6" s="1"/>
  <c r="AG39" i="6" s="1"/>
  <c r="AH39" i="6" s="1"/>
  <c r="AI39" i="6" s="1"/>
  <c r="AJ39" i="6" s="1"/>
  <c r="AK39" i="6" s="1"/>
  <c r="AL39" i="6" s="1"/>
  <c r="Z40" i="6"/>
  <c r="AA40" i="6" s="1"/>
  <c r="AB40" i="6" s="1"/>
  <c r="AC40" i="6" s="1"/>
  <c r="AD40" i="6" s="1"/>
  <c r="AE40" i="6" s="1"/>
  <c r="AF40" i="6" s="1"/>
  <c r="AG40" i="6" s="1"/>
  <c r="AH40" i="6" s="1"/>
  <c r="AI40" i="6" s="1"/>
  <c r="AJ40" i="6" s="1"/>
  <c r="AK40" i="6" s="1"/>
  <c r="AL40" i="6" s="1"/>
  <c r="AM40" i="6" s="1"/>
  <c r="AN40" i="6" s="1"/>
  <c r="Z41" i="6"/>
  <c r="AA41" i="6" s="1"/>
  <c r="AB41" i="6" s="1"/>
  <c r="AC41" i="6" s="1"/>
  <c r="AD41" i="6" s="1"/>
  <c r="AE41" i="6" s="1"/>
  <c r="AF41" i="6" s="1"/>
  <c r="AG41" i="6" s="1"/>
  <c r="AH41" i="6" s="1"/>
  <c r="AI41" i="6" s="1"/>
  <c r="AJ41" i="6" s="1"/>
  <c r="AK41" i="6" s="1"/>
  <c r="AL41" i="6" s="1"/>
  <c r="AM41" i="6" s="1"/>
  <c r="AN41" i="6" s="1"/>
  <c r="Z42" i="6"/>
  <c r="AA42" i="6" s="1"/>
  <c r="AB42" i="6" s="1"/>
  <c r="AC42" i="6" s="1"/>
  <c r="AD42" i="6" s="1"/>
  <c r="AE42" i="6" s="1"/>
  <c r="AF42" i="6" s="1"/>
  <c r="AG42" i="6" s="1"/>
  <c r="AH42" i="6" s="1"/>
  <c r="AI42" i="6" s="1"/>
  <c r="AJ42" i="6" s="1"/>
  <c r="Z43" i="6"/>
  <c r="AA43" i="6" s="1"/>
  <c r="AB43" i="6" s="1"/>
  <c r="AC43" i="6" s="1"/>
  <c r="AD43" i="6" s="1"/>
  <c r="AE43" i="6" s="1"/>
  <c r="AF43" i="6" s="1"/>
  <c r="AG43" i="6" s="1"/>
  <c r="AH43" i="6" s="1"/>
  <c r="AI43" i="6" s="1"/>
  <c r="AJ43" i="6" s="1"/>
  <c r="Z44" i="6"/>
  <c r="AA44" i="6" s="1"/>
  <c r="AB44" i="6" s="1"/>
  <c r="AC44" i="6" s="1"/>
  <c r="AD44" i="6" s="1"/>
  <c r="AE44" i="6" s="1"/>
  <c r="AF44" i="6" s="1"/>
  <c r="AG44" i="6" s="1"/>
  <c r="AH44" i="6" s="1"/>
  <c r="AI44" i="6" s="1"/>
  <c r="AJ44" i="6" s="1"/>
  <c r="AK44" i="6" s="1"/>
  <c r="AL44" i="6" s="1"/>
  <c r="AM44" i="6" s="1"/>
  <c r="AN44" i="6" s="1"/>
  <c r="Z45" i="6"/>
  <c r="AA45" i="6" s="1"/>
  <c r="AB45" i="6" s="1"/>
  <c r="AC45" i="6" s="1"/>
  <c r="AD45" i="6" s="1"/>
  <c r="AE45" i="6" s="1"/>
  <c r="AF45" i="6" s="1"/>
  <c r="AG45" i="6" s="1"/>
  <c r="AH45" i="6" s="1"/>
  <c r="AI45" i="6" s="1"/>
  <c r="AJ45" i="6" s="1"/>
  <c r="AK45" i="6" s="1"/>
  <c r="AL45" i="6" s="1"/>
  <c r="AM45" i="6" s="1"/>
  <c r="AN45" i="6" s="1"/>
  <c r="Z46" i="6"/>
  <c r="AA46" i="6" s="1"/>
  <c r="AB46" i="6" s="1"/>
  <c r="AC46" i="6" s="1"/>
  <c r="AD46" i="6" s="1"/>
  <c r="AE46" i="6" s="1"/>
  <c r="AF46" i="6" s="1"/>
  <c r="AG46" i="6" s="1"/>
  <c r="AH46" i="6" s="1"/>
  <c r="AI46" i="6" s="1"/>
  <c r="AJ46" i="6" s="1"/>
  <c r="AK46" i="6" s="1"/>
  <c r="AL46" i="6" s="1"/>
  <c r="AM46" i="6" s="1"/>
  <c r="AN46" i="6" s="1"/>
  <c r="Z47" i="6"/>
  <c r="AA47" i="6" s="1"/>
  <c r="AB47" i="6" s="1"/>
  <c r="AC47" i="6" s="1"/>
  <c r="AD47" i="6" s="1"/>
  <c r="AE47" i="6" s="1"/>
  <c r="AF47" i="6" s="1"/>
  <c r="AG47" i="6" s="1"/>
  <c r="AH47" i="6" s="1"/>
  <c r="AI47" i="6" s="1"/>
  <c r="AJ47" i="6" s="1"/>
  <c r="AK47" i="6" s="1"/>
  <c r="AL47" i="6" s="1"/>
  <c r="AM47" i="6" s="1"/>
  <c r="AN47" i="6" s="1"/>
  <c r="Z48" i="6"/>
  <c r="AA48" i="6" s="1"/>
  <c r="AB48" i="6" s="1"/>
  <c r="AC48" i="6" s="1"/>
  <c r="AD48" i="6" s="1"/>
  <c r="AE48" i="6" s="1"/>
  <c r="AF48" i="6" s="1"/>
  <c r="AG48" i="6" s="1"/>
  <c r="AH48" i="6" s="1"/>
  <c r="AI48" i="6" s="1"/>
  <c r="AJ48" i="6" s="1"/>
  <c r="AK48" i="6" s="1"/>
  <c r="AL48" i="6" s="1"/>
  <c r="AM48" i="6" s="1"/>
  <c r="AN48" i="6" s="1"/>
  <c r="Z49" i="6"/>
  <c r="AA49" i="6" s="1"/>
  <c r="AB49" i="6" s="1"/>
  <c r="AC49" i="6" s="1"/>
  <c r="AD49" i="6" s="1"/>
  <c r="AE49" i="6" s="1"/>
  <c r="AF49" i="6" s="1"/>
  <c r="AG49" i="6" s="1"/>
  <c r="AH49" i="6" s="1"/>
  <c r="AI49" i="6" s="1"/>
  <c r="AJ49" i="6" s="1"/>
  <c r="AK49" i="6" s="1"/>
  <c r="AL49" i="6" s="1"/>
  <c r="AM49" i="6" s="1"/>
  <c r="AN49" i="6" s="1"/>
  <c r="Z50" i="6"/>
  <c r="AA50" i="6" s="1"/>
  <c r="AB50" i="6" s="1"/>
  <c r="AC50" i="6" s="1"/>
  <c r="AD50" i="6" s="1"/>
  <c r="AE50" i="6" s="1"/>
  <c r="AF50" i="6" s="1"/>
  <c r="AG50" i="6" s="1"/>
  <c r="AH50" i="6" s="1"/>
  <c r="AI50" i="6" s="1"/>
  <c r="AJ50" i="6" s="1"/>
  <c r="AK50" i="6" s="1"/>
  <c r="AL50" i="6" s="1"/>
  <c r="Z51" i="6"/>
  <c r="AA51" i="6" s="1"/>
  <c r="AB51" i="6" s="1"/>
  <c r="AC51" i="6" s="1"/>
  <c r="AD51" i="6" s="1"/>
  <c r="AE51" i="6" s="1"/>
  <c r="AF51" i="6" s="1"/>
  <c r="AG51" i="6" s="1"/>
  <c r="AH51" i="6" s="1"/>
  <c r="AI51" i="6" s="1"/>
  <c r="AJ51" i="6" s="1"/>
  <c r="AK51" i="6" s="1"/>
  <c r="AL51" i="6" s="1"/>
  <c r="AM51" i="6" s="1"/>
  <c r="AN51" i="6" s="1"/>
  <c r="Z52" i="6"/>
  <c r="AA52" i="6" s="1"/>
  <c r="AB52" i="6" s="1"/>
  <c r="AC52" i="6" s="1"/>
  <c r="AD52" i="6" s="1"/>
  <c r="AE52" i="6" s="1"/>
  <c r="AF52" i="6" s="1"/>
  <c r="AG52" i="6" s="1"/>
  <c r="AH52" i="6" s="1"/>
  <c r="AI52" i="6" s="1"/>
  <c r="AJ52" i="6" s="1"/>
  <c r="AK52" i="6" s="1"/>
  <c r="AL52" i="6" s="1"/>
  <c r="AM52" i="6" s="1"/>
  <c r="AN52" i="6" s="1"/>
  <c r="Z53" i="6"/>
  <c r="AA53" i="6" s="1"/>
  <c r="AB53" i="6" s="1"/>
  <c r="AC53" i="6" s="1"/>
  <c r="AD53" i="6" s="1"/>
  <c r="AE53" i="6" s="1"/>
  <c r="AF53" i="6" s="1"/>
  <c r="AG53" i="6" s="1"/>
  <c r="AH53" i="6" s="1"/>
  <c r="AI53" i="6" s="1"/>
  <c r="AJ53" i="6" s="1"/>
  <c r="AK53" i="6" s="1"/>
  <c r="AL53" i="6" s="1"/>
  <c r="AM53" i="6" s="1"/>
  <c r="AN53" i="6" s="1"/>
  <c r="Z54" i="6"/>
  <c r="AA54" i="6" s="1"/>
  <c r="AB54" i="6" s="1"/>
  <c r="AC54" i="6" s="1"/>
  <c r="AD54" i="6" s="1"/>
  <c r="AE54" i="6" s="1"/>
  <c r="AF54" i="6" s="1"/>
  <c r="AG54" i="6" s="1"/>
  <c r="AH54" i="6" s="1"/>
  <c r="AI54" i="6" s="1"/>
  <c r="AJ54" i="6" s="1"/>
  <c r="AK54" i="6" s="1"/>
  <c r="AL54" i="6" s="1"/>
  <c r="AM54" i="6" s="1"/>
  <c r="AN54" i="6" s="1"/>
  <c r="Z55" i="6"/>
  <c r="AA55" i="6" s="1"/>
  <c r="AB55" i="6" s="1"/>
  <c r="AC55" i="6" s="1"/>
  <c r="AD55" i="6" s="1"/>
  <c r="AE55" i="6" s="1"/>
  <c r="AF55" i="6" s="1"/>
  <c r="AG55" i="6" s="1"/>
  <c r="AH55" i="6" s="1"/>
  <c r="AI55" i="6" s="1"/>
  <c r="AJ55" i="6" s="1"/>
  <c r="Z56" i="6"/>
  <c r="AA56" i="6" s="1"/>
  <c r="AB56" i="6" s="1"/>
  <c r="AC56" i="6" s="1"/>
  <c r="AD56" i="6" s="1"/>
  <c r="AE56" i="6" s="1"/>
  <c r="AF56" i="6" s="1"/>
  <c r="AG56" i="6" s="1"/>
  <c r="AH56" i="6" s="1"/>
  <c r="AI56" i="6" s="1"/>
  <c r="AJ56" i="6" s="1"/>
  <c r="AK56" i="6" s="1"/>
  <c r="AL56" i="6" s="1"/>
  <c r="AM56" i="6" s="1"/>
  <c r="AN56" i="6" s="1"/>
  <c r="Z57" i="6"/>
  <c r="AA57" i="6" s="1"/>
  <c r="AB57" i="6" s="1"/>
  <c r="AC57" i="6" s="1"/>
  <c r="AD57" i="6" s="1"/>
  <c r="AE57" i="6" s="1"/>
  <c r="AF57" i="6" s="1"/>
  <c r="AG57" i="6" s="1"/>
  <c r="AH57" i="6" s="1"/>
  <c r="AI57" i="6" s="1"/>
  <c r="AJ57" i="6" s="1"/>
  <c r="AK57" i="6" s="1"/>
  <c r="AL57" i="6" s="1"/>
  <c r="AM57" i="6" s="1"/>
  <c r="AN57" i="6" s="1"/>
  <c r="Z58" i="6"/>
  <c r="AA58" i="6" s="1"/>
  <c r="AB58" i="6" s="1"/>
  <c r="AC58" i="6" s="1"/>
  <c r="AD58" i="6" s="1"/>
  <c r="AE58" i="6" s="1"/>
  <c r="AF58" i="6" s="1"/>
  <c r="AG58" i="6" s="1"/>
  <c r="AH58" i="6" s="1"/>
  <c r="AI58" i="6" s="1"/>
  <c r="AJ58" i="6" s="1"/>
  <c r="AK58" i="6" s="1"/>
  <c r="AL58" i="6" s="1"/>
  <c r="Z59" i="6"/>
  <c r="AA59" i="6" s="1"/>
  <c r="AB59" i="6" s="1"/>
  <c r="AC59" i="6" s="1"/>
  <c r="AD59" i="6" s="1"/>
  <c r="AE59" i="6" s="1"/>
  <c r="AF59" i="6" s="1"/>
  <c r="AG59" i="6" s="1"/>
  <c r="AH59" i="6" s="1"/>
  <c r="AI59" i="6" s="1"/>
  <c r="AJ59" i="6" s="1"/>
  <c r="AK59" i="6" s="1"/>
  <c r="AL59" i="6" s="1"/>
  <c r="AM59" i="6" s="1"/>
  <c r="AN59" i="6" s="1"/>
  <c r="Z60" i="6"/>
  <c r="AA60" i="6" s="1"/>
  <c r="AB60" i="6" s="1"/>
  <c r="AC60" i="6" s="1"/>
  <c r="AD60" i="6" s="1"/>
  <c r="AE60" i="6" s="1"/>
  <c r="AF60" i="6" s="1"/>
  <c r="AG60" i="6" s="1"/>
  <c r="AH60" i="6" s="1"/>
  <c r="AI60" i="6" s="1"/>
  <c r="AJ60" i="6" s="1"/>
  <c r="AK60" i="6" s="1"/>
  <c r="AL60" i="6" s="1"/>
  <c r="AM60" i="6" s="1"/>
  <c r="AN60" i="6" s="1"/>
  <c r="Z61" i="6"/>
  <c r="AA61" i="6" s="1"/>
  <c r="AB61" i="6" s="1"/>
  <c r="AC61" i="6" s="1"/>
  <c r="AD61" i="6" s="1"/>
  <c r="AE61" i="6" s="1"/>
  <c r="AF61" i="6" s="1"/>
  <c r="AG61" i="6" s="1"/>
  <c r="AH61" i="6" s="1"/>
  <c r="AI61" i="6" s="1"/>
  <c r="AJ61" i="6" s="1"/>
  <c r="AK61" i="6" s="1"/>
  <c r="AL61" i="6" s="1"/>
  <c r="AM61" i="6" s="1"/>
  <c r="AN61" i="6" s="1"/>
  <c r="Z62" i="6"/>
  <c r="AA62" i="6" s="1"/>
  <c r="AB62" i="6" s="1"/>
  <c r="AC62" i="6" s="1"/>
  <c r="AD62" i="6" s="1"/>
  <c r="AE62" i="6" s="1"/>
  <c r="AF62" i="6" s="1"/>
  <c r="AG62" i="6" s="1"/>
  <c r="AH62" i="6" s="1"/>
  <c r="AI62" i="6" s="1"/>
  <c r="AJ62" i="6" s="1"/>
  <c r="AK62" i="6" s="1"/>
  <c r="AL62" i="6" s="1"/>
  <c r="AM62" i="6" s="1"/>
  <c r="AN62" i="6" s="1"/>
  <c r="Z2" i="6"/>
  <c r="AA2" i="6" s="1"/>
  <c r="AB2" i="6" s="1"/>
  <c r="AC2" i="6" s="1"/>
  <c r="AD2" i="6" s="1"/>
  <c r="AE2" i="6" s="1"/>
  <c r="AF2" i="6" s="1"/>
  <c r="AG2" i="6" s="1"/>
  <c r="AH2" i="6" s="1"/>
  <c r="AI2" i="6" s="1"/>
  <c r="AJ2" i="6" s="1"/>
  <c r="AK2" i="6" s="1"/>
  <c r="AL2" i="6" s="1"/>
  <c r="G23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D18" i="6"/>
  <c r="C25" i="6" s="1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W14" i="6"/>
  <c r="W11" i="6"/>
  <c r="W9" i="6"/>
  <c r="W7" i="6"/>
  <c r="W4" i="6"/>
  <c r="C26" i="21" l="1"/>
  <c r="E25" i="21"/>
  <c r="C25" i="21"/>
  <c r="G24" i="21"/>
  <c r="AH18" i="21"/>
  <c r="I18" i="21"/>
  <c r="E18" i="21"/>
  <c r="AE18" i="21"/>
  <c r="L18" i="6"/>
  <c r="I18" i="6"/>
  <c r="C26" i="6"/>
  <c r="O18" i="6"/>
  <c r="E25" i="6"/>
  <c r="E26" i="6"/>
  <c r="H26" i="6"/>
  <c r="E18" i="6"/>
  <c r="G24" i="6"/>
  <c r="AK18" i="21" l="1"/>
  <c r="R18" i="6"/>
</calcChain>
</file>

<file path=xl/sharedStrings.xml><?xml version="1.0" encoding="utf-8"?>
<sst xmlns="http://schemas.openxmlformats.org/spreadsheetml/2006/main" count="1352" uniqueCount="134">
  <si>
    <t xml:space="preserve"> </t>
  </si>
  <si>
    <t>Classe 1</t>
  </si>
  <si>
    <t>Classe 2</t>
  </si>
  <si>
    <t>Classe 3</t>
  </si>
  <si>
    <t>Classe 4</t>
  </si>
  <si>
    <t>Classe 5</t>
  </si>
  <si>
    <t>Classe 6</t>
  </si>
  <si>
    <t>Classe 7</t>
  </si>
  <si>
    <t>Classe 8</t>
  </si>
  <si>
    <t>Classe 9</t>
  </si>
  <si>
    <t>Classe 10</t>
  </si>
  <si>
    <t>Classe 11</t>
  </si>
  <si>
    <t>Classe 12</t>
  </si>
  <si>
    <t>total classe</t>
  </si>
  <si>
    <t>total réparti</t>
  </si>
  <si>
    <t>total par niv</t>
  </si>
  <si>
    <t>totaux</t>
  </si>
  <si>
    <t>à répartir encore</t>
  </si>
  <si>
    <t>moyenne théorique</t>
  </si>
  <si>
    <t>CM2</t>
  </si>
  <si>
    <t>CM1</t>
  </si>
  <si>
    <t>CE2</t>
  </si>
  <si>
    <t>CE1</t>
  </si>
  <si>
    <t>CP</t>
  </si>
  <si>
    <t>GS</t>
  </si>
  <si>
    <t>MS</t>
  </si>
  <si>
    <t>PS2</t>
  </si>
  <si>
    <t>PS1</t>
  </si>
  <si>
    <t>écart type</t>
  </si>
  <si>
    <t>Les cases bleues sont remplies automatiquement</t>
  </si>
  <si>
    <r>
      <rPr>
        <u/>
        <sz val="11"/>
        <color indexed="8"/>
        <rFont val="Calibri"/>
        <family val="2"/>
      </rPr>
      <t>Commentaires -</t>
    </r>
    <r>
      <rPr>
        <sz val="11"/>
        <color theme="1"/>
        <rFont val="Calibri"/>
        <family val="2"/>
        <scheme val="minor"/>
      </rPr>
      <t xml:space="preserve">:   </t>
    </r>
  </si>
  <si>
    <r>
      <t>Commentaires +:</t>
    </r>
    <r>
      <rPr>
        <sz val="11"/>
        <color theme="1"/>
        <rFont val="Calibri"/>
        <family val="2"/>
        <scheme val="minor"/>
      </rPr>
      <t xml:space="preserve"> </t>
    </r>
  </si>
  <si>
    <t>moyenne actuelle</t>
  </si>
  <si>
    <t>Nb Classes:</t>
  </si>
  <si>
    <t>Classe 13</t>
  </si>
  <si>
    <t>Classe 14</t>
  </si>
  <si>
    <t>Classe 15</t>
  </si>
  <si>
    <t>moyenne locale 1</t>
  </si>
  <si>
    <t>moyenne locale 2</t>
  </si>
  <si>
    <t>moyenne locale 3</t>
  </si>
  <si>
    <t xml:space="preserve"> de la classe</t>
  </si>
  <si>
    <t>à la classe</t>
  </si>
  <si>
    <t>intitulé</t>
  </si>
  <si>
    <t>simples niveaux</t>
  </si>
  <si>
    <t>doubles niveaux</t>
  </si>
  <si>
    <t>triples niveaux</t>
  </si>
  <si>
    <t>Autres</t>
  </si>
  <si>
    <t>Répartition des effectifs</t>
  </si>
  <si>
    <t>école:</t>
  </si>
  <si>
    <t>année:</t>
  </si>
  <si>
    <t>total cycle 2</t>
  </si>
  <si>
    <t>total cycle 3</t>
  </si>
  <si>
    <t>total élém.</t>
  </si>
  <si>
    <t>auteur:</t>
  </si>
  <si>
    <t>Ce tableau est conçu pour aider à la répartition des classes dans les écoles.</t>
  </si>
  <si>
    <t>1 - Renseigner le nombre de classes</t>
  </si>
  <si>
    <t>Vous disposez de plusieurs onglets vierges pour créér différentes propositions de répartition.</t>
  </si>
  <si>
    <t>cellule C3</t>
  </si>
  <si>
    <t>2- Renseigner le nombre d'élèves par section</t>
  </si>
  <si>
    <t>où ?</t>
  </si>
  <si>
    <t>aide</t>
  </si>
  <si>
    <t>cellules D4 à D12</t>
  </si>
  <si>
    <t>cellule en rouge</t>
  </si>
  <si>
    <t>vous pouvez commenter dans la colonne C par exemple pour des arrivées après la rentrée</t>
  </si>
  <si>
    <t>3 - Commencer à répartir les élèves dans les classes</t>
  </si>
  <si>
    <t>total CLIS</t>
  </si>
  <si>
    <t>total cycle 1</t>
  </si>
  <si>
    <t>Cellules G4 à U14</t>
  </si>
  <si>
    <t>Le calcul de la moyenne théorique d'élèves par classe se fait automatiquement.</t>
  </si>
  <si>
    <t>Etapes:</t>
  </si>
  <si>
    <t>Le nombre d'élèves restants à répartir s'affiche automatiquement.</t>
  </si>
  <si>
    <t>Cellules E4 à E14</t>
  </si>
  <si>
    <t>Si vous avez réparti trop d'èlèves d'une section, la cellule devient rouge. Si tous les élèves sont répartis, elle devient verte.</t>
  </si>
  <si>
    <t>Le calcul des totaux par cycle se fait automatiquement</t>
  </si>
  <si>
    <t>Cellules W3 à W14</t>
  </si>
  <si>
    <t>Le "profil" (simple niveaux ou classe multi-âge) de la classe s'affiche automatiquement par coloration de l'intitulé de la classe.</t>
  </si>
  <si>
    <t>Le nombre de classe par "profil" est calculé automatiquement.</t>
  </si>
  <si>
    <t>La moyenne actuelle est calculée automatiquement au fur et à mesure de la répartition</t>
  </si>
  <si>
    <t>Le total par classe est calculé automatiquement</t>
  </si>
  <si>
    <t>Cellules G20 à U20</t>
  </si>
  <si>
    <t>Cela peut permettre d'affiner vos choix: par exemple, la moyenne sur les classes de maternelle…</t>
  </si>
  <si>
    <t>5 - Eventuellement mesurez des moyennes locales</t>
  </si>
  <si>
    <t>6 - Eventuellement ajoutez des commentaires à votre répartition.</t>
  </si>
  <si>
    <t>4- Donnez des noms à vos classes (intitulés)</t>
  </si>
  <si>
    <t>Utilisez plutôt un nom court, si vous voulez faire figurer un nom d'enseignant vous pouvez ajoutez un commentaire (clic-droit sur la cellule puis "insérez un commentaire")</t>
  </si>
  <si>
    <t>Jean de la Fontaine</t>
  </si>
  <si>
    <t>Emmanuel</t>
  </si>
  <si>
    <t>2014/2015</t>
  </si>
  <si>
    <t>PS1 PS2</t>
  </si>
  <si>
    <t>PS MS</t>
  </si>
  <si>
    <t>GS CP</t>
  </si>
  <si>
    <t>CE2 CM1</t>
  </si>
  <si>
    <t>CM1 CM2</t>
  </si>
  <si>
    <t xml:space="preserve"> 5 doubles niveaux dont PS1 PS2, moyennes assez équilibrées,</t>
  </si>
  <si>
    <t>Cycle 3 chargé</t>
  </si>
  <si>
    <t>7- Eventuellement, faites une autre répartition</t>
  </si>
  <si>
    <t>Utilisez un autre onglet, vous pouvez utiliser le copier-coller pour reprendre le nombre d'élèves par section.</t>
  </si>
  <si>
    <t>onglet "Comparatif"</t>
  </si>
  <si>
    <t>8 -Comparer vos répartitions et faites vos choix.</t>
  </si>
  <si>
    <t>2 arrivées en janvier</t>
  </si>
  <si>
    <t>NB: vous pouvez choisir une valeur de la liste ou saisir les nombres au clavier</t>
  </si>
  <si>
    <t>ULIS</t>
  </si>
  <si>
    <t>Cellule C25</t>
  </si>
  <si>
    <t>Les élèves d'ULIS ne sont pas comptés dans le total élémentaire</t>
  </si>
  <si>
    <t>Cellules G18 à R18</t>
  </si>
  <si>
    <t>Cellule E25</t>
  </si>
  <si>
    <t>Cellules G21 à U21</t>
  </si>
  <si>
    <t>Cellules B26 à H30</t>
  </si>
  <si>
    <t>Cellules J23 à U30</t>
  </si>
  <si>
    <t>N'essayez pas d'écrire quoi que ce soit dans les cellules G3 à U3, le nom des classes s'indique dans les cases G20 à U20</t>
  </si>
  <si>
    <t>Ecrivez le nom des classes dans les cases G20 à U20 avant de commencer à répartir</t>
  </si>
  <si>
    <t>Classe 16</t>
  </si>
  <si>
    <t>Classe 17</t>
  </si>
  <si>
    <t>Classe 18</t>
  </si>
  <si>
    <t>Classe 19</t>
  </si>
  <si>
    <t>Classe 20</t>
  </si>
  <si>
    <t>Classe 21</t>
  </si>
  <si>
    <t>Classe 22</t>
  </si>
  <si>
    <t>Classe 23</t>
  </si>
  <si>
    <t>Classe 24</t>
  </si>
  <si>
    <t>Classe 25</t>
  </si>
  <si>
    <t>Classe 26</t>
  </si>
  <si>
    <t>Classe 27</t>
  </si>
  <si>
    <t>Classe 28</t>
  </si>
  <si>
    <t>Classe 29</t>
  </si>
  <si>
    <t>Classe 30</t>
  </si>
  <si>
    <t>Classe 31</t>
  </si>
  <si>
    <t>Classe 32</t>
  </si>
  <si>
    <t>Classe 33</t>
  </si>
  <si>
    <t>Classe 34</t>
  </si>
  <si>
    <r>
      <rPr>
        <sz val="10"/>
        <rFont val="Calibri"/>
        <family val="2"/>
        <scheme val="minor"/>
      </rPr>
      <t>Classe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7</t>
    </r>
  </si>
  <si>
    <r>
      <rPr>
        <sz val="10"/>
        <rFont val="Calibri"/>
        <family val="2"/>
        <scheme val="minor"/>
      </rPr>
      <t>Classe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1</t>
    </r>
  </si>
  <si>
    <r>
      <rPr>
        <sz val="10"/>
        <rFont val="Calibri"/>
        <family val="2"/>
        <scheme val="minor"/>
      </rPr>
      <t>Classe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2</t>
    </r>
  </si>
  <si>
    <r>
      <rPr>
        <sz val="10"/>
        <rFont val="Calibri"/>
        <family val="2"/>
        <scheme val="minor"/>
      </rPr>
      <t>Classe</t>
    </r>
    <r>
      <rPr>
        <sz val="10"/>
        <color theme="1"/>
        <rFont val="Calibri"/>
        <family val="2"/>
        <scheme val="minor"/>
      </rPr>
      <t xml:space="preserve"> </t>
    </r>
    <r>
      <rPr>
        <sz val="10"/>
        <rFont val="Calibri"/>
        <family val="2"/>
        <scheme val="minor"/>
      </rPr>
      <t>4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</si>
</sst>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u/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3" xfId="0" applyBorder="1" applyAlignment="1">
      <alignment wrapText="1"/>
    </xf>
    <xf numFmtId="0" fontId="0" fillId="0" borderId="25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9" xfId="0" applyBorder="1"/>
    <xf numFmtId="0" fontId="0" fillId="0" borderId="14" xfId="0" applyBorder="1"/>
    <xf numFmtId="0" fontId="2" fillId="0" borderId="2" xfId="0" applyFont="1" applyBorder="1" applyAlignment="1">
      <alignment horizontal="center" vertical="center"/>
    </xf>
    <xf numFmtId="0" fontId="6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 wrapText="1"/>
    </xf>
    <xf numFmtId="0" fontId="0" fillId="3" borderId="0" xfId="0" applyFill="1"/>
    <xf numFmtId="0" fontId="5" fillId="0" borderId="8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11" borderId="20" xfId="0" applyFont="1" applyFill="1" applyBorder="1" applyAlignment="1">
      <alignment horizontal="center"/>
    </xf>
    <xf numFmtId="0" fontId="0" fillId="0" borderId="18" xfId="0" applyBorder="1" applyAlignment="1">
      <alignment horizontal="right"/>
    </xf>
    <xf numFmtId="0" fontId="0" fillId="0" borderId="1" xfId="0" applyBorder="1"/>
    <xf numFmtId="0" fontId="0" fillId="2" borderId="24" xfId="0" applyFill="1" applyBorder="1"/>
    <xf numFmtId="0" fontId="0" fillId="0" borderId="16" xfId="0" applyBorder="1"/>
    <xf numFmtId="0" fontId="5" fillId="11" borderId="21" xfId="0" applyFont="1" applyFill="1" applyBorder="1" applyAlignment="1">
      <alignment horizontal="center" vertical="top"/>
    </xf>
    <xf numFmtId="0" fontId="5" fillId="11" borderId="22" xfId="0" applyFont="1" applyFill="1" applyBorder="1" applyAlignment="1">
      <alignment horizontal="center" vertical="top"/>
    </xf>
    <xf numFmtId="0" fontId="5" fillId="11" borderId="23" xfId="0" applyFont="1" applyFill="1" applyBorder="1" applyAlignment="1">
      <alignment horizontal="center" vertical="top"/>
    </xf>
    <xf numFmtId="0" fontId="5" fillId="11" borderId="20" xfId="0" applyFont="1" applyFill="1" applyBorder="1" applyAlignment="1">
      <alignment horizontal="center" vertical="top"/>
    </xf>
    <xf numFmtId="0" fontId="0" fillId="11" borderId="21" xfId="0" applyFill="1" applyBorder="1" applyAlignment="1">
      <alignment horizontal="center" vertical="top"/>
    </xf>
    <xf numFmtId="0" fontId="0" fillId="11" borderId="22" xfId="0" applyFill="1" applyBorder="1" applyAlignment="1">
      <alignment horizontal="center" vertical="top"/>
    </xf>
    <xf numFmtId="0" fontId="0" fillId="0" borderId="1" xfId="0" applyBorder="1" applyAlignment="1">
      <alignment horizontal="right"/>
    </xf>
    <xf numFmtId="0" fontId="0" fillId="11" borderId="1" xfId="0" applyFill="1" applyBorder="1" applyAlignment="1">
      <alignment horizontal="center" vertical="top"/>
    </xf>
    <xf numFmtId="0" fontId="0" fillId="11" borderId="20" xfId="0" applyFill="1" applyBorder="1" applyAlignment="1">
      <alignment horizontal="center" vertical="top"/>
    </xf>
    <xf numFmtId="0" fontId="0" fillId="0" borderId="15" xfId="0" applyBorder="1"/>
    <xf numFmtId="0" fontId="0" fillId="0" borderId="4" xfId="0" applyBorder="1"/>
    <xf numFmtId="0" fontId="0" fillId="0" borderId="7" xfId="0" applyBorder="1"/>
    <xf numFmtId="0" fontId="0" fillId="0" borderId="2" xfId="0" applyBorder="1"/>
    <xf numFmtId="0" fontId="0" fillId="2" borderId="5" xfId="0" applyFill="1" applyBorder="1"/>
    <xf numFmtId="0" fontId="0" fillId="5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10" xfId="0" applyBorder="1"/>
    <xf numFmtId="0" fontId="0" fillId="2" borderId="26" xfId="0" applyFill="1" applyBorder="1"/>
    <xf numFmtId="0" fontId="0" fillId="0" borderId="12" xfId="0" applyBorder="1"/>
    <xf numFmtId="0" fontId="0" fillId="2" borderId="13" xfId="0" applyFill="1" applyBorder="1"/>
    <xf numFmtId="0" fontId="0" fillId="2" borderId="9" xfId="0" applyFill="1" applyBorder="1" applyAlignment="1">
      <alignment wrapText="1"/>
    </xf>
    <xf numFmtId="2" fontId="0" fillId="2" borderId="11" xfId="0" applyNumberFormat="1" applyFill="1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2" fontId="2" fillId="4" borderId="11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 wrapText="1"/>
    </xf>
    <xf numFmtId="2" fontId="2" fillId="2" borderId="1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2" xfId="0" applyNumberFormat="1" applyBorder="1" applyAlignment="1">
      <alignment vertical="center"/>
    </xf>
    <xf numFmtId="0" fontId="0" fillId="0" borderId="13" xfId="0" applyBorder="1"/>
    <xf numFmtId="0" fontId="8" fillId="0" borderId="25" xfId="0" applyFont="1" applyBorder="1"/>
    <xf numFmtId="0" fontId="3" fillId="0" borderId="25" xfId="0" applyFont="1" applyBorder="1"/>
    <xf numFmtId="0" fontId="3" fillId="0" borderId="25" xfId="0" applyFont="1" applyBorder="1" applyProtection="1">
      <protection locked="0"/>
    </xf>
    <xf numFmtId="0" fontId="8" fillId="0" borderId="25" xfId="0" applyFont="1" applyBorder="1" applyProtection="1">
      <protection locked="0"/>
    </xf>
    <xf numFmtId="0" fontId="0" fillId="0" borderId="1" xfId="0" applyBorder="1" applyProtection="1">
      <protection locked="0"/>
    </xf>
    <xf numFmtId="0" fontId="5" fillId="0" borderId="8" xfId="0" applyFont="1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7" fillId="10" borderId="15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5" fillId="3" borderId="8" xfId="0" applyFont="1" applyFill="1" applyBorder="1" applyAlignment="1" applyProtection="1">
      <alignment horizontal="center"/>
      <protection locked="0"/>
    </xf>
    <xf numFmtId="0" fontId="0" fillId="12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5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32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1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4" fillId="8" borderId="9" xfId="0" applyFont="1" applyFill="1" applyBorder="1" applyAlignment="1">
      <alignment horizontal="center" vertical="top" wrapText="1"/>
    </xf>
    <xf numFmtId="0" fontId="4" fillId="8" borderId="10" xfId="0" applyFont="1" applyFill="1" applyBorder="1" applyAlignment="1">
      <alignment horizontal="center" vertical="top" wrapText="1"/>
    </xf>
    <xf numFmtId="0" fontId="4" fillId="8" borderId="11" xfId="0" applyFont="1" applyFill="1" applyBorder="1" applyAlignment="1">
      <alignment horizontal="center" vertical="top" wrapText="1"/>
    </xf>
    <xf numFmtId="0" fontId="0" fillId="6" borderId="9" xfId="0" applyFill="1" applyBorder="1" applyAlignment="1">
      <alignment horizontal="center" vertical="top" wrapText="1"/>
    </xf>
    <xf numFmtId="0" fontId="0" fillId="6" borderId="10" xfId="0" applyFill="1" applyBorder="1" applyAlignment="1">
      <alignment horizontal="center" vertical="top" wrapText="1"/>
    </xf>
    <xf numFmtId="0" fontId="0" fillId="6" borderId="11" xfId="0" applyFill="1" applyBorder="1" applyAlignment="1">
      <alignment horizontal="center" vertical="top" wrapText="1"/>
    </xf>
    <xf numFmtId="0" fontId="0" fillId="8" borderId="14" xfId="0" applyFill="1" applyBorder="1" applyAlignment="1">
      <alignment horizontal="center" vertical="top" wrapText="1"/>
    </xf>
    <xf numFmtId="0" fontId="4" fillId="8" borderId="0" xfId="0" applyFont="1" applyFill="1" applyAlignment="1">
      <alignment horizontal="center" vertical="top" wrapText="1"/>
    </xf>
    <xf numFmtId="0" fontId="4" fillId="8" borderId="15" xfId="0" applyFont="1" applyFill="1" applyBorder="1" applyAlignment="1">
      <alignment horizontal="center" vertical="top" wrapText="1"/>
    </xf>
    <xf numFmtId="0" fontId="4" fillId="8" borderId="14" xfId="0" applyFont="1" applyFill="1" applyBorder="1" applyAlignment="1">
      <alignment horizontal="center" vertical="top" wrapText="1"/>
    </xf>
    <xf numFmtId="0" fontId="4" fillId="8" borderId="7" xfId="0" applyFont="1" applyFill="1" applyBorder="1" applyAlignment="1">
      <alignment horizontal="center" vertical="top" wrapText="1"/>
    </xf>
    <xf numFmtId="0" fontId="4" fillId="8" borderId="12" xfId="0" applyFont="1" applyFill="1" applyBorder="1" applyAlignment="1">
      <alignment horizontal="center" vertical="top" wrapText="1"/>
    </xf>
    <xf numFmtId="0" fontId="4" fillId="8" borderId="13" xfId="0" applyFont="1" applyFill="1" applyBorder="1" applyAlignment="1">
      <alignment horizontal="center" vertical="top" wrapText="1"/>
    </xf>
    <xf numFmtId="0" fontId="0" fillId="6" borderId="14" xfId="0" applyFill="1" applyBorder="1" applyAlignment="1">
      <alignment horizontal="center" vertical="top" wrapText="1"/>
    </xf>
    <xf numFmtId="0" fontId="0" fillId="6" borderId="0" xfId="0" applyFill="1" applyAlignment="1">
      <alignment horizontal="center" vertical="top" wrapText="1"/>
    </xf>
    <xf numFmtId="0" fontId="0" fillId="6" borderId="15" xfId="0" applyFill="1" applyBorder="1" applyAlignment="1">
      <alignment horizontal="center" vertical="top" wrapText="1"/>
    </xf>
    <xf numFmtId="0" fontId="0" fillId="6" borderId="7" xfId="0" applyFill="1" applyBorder="1" applyAlignment="1">
      <alignment horizontal="center" vertical="top" wrapText="1"/>
    </xf>
    <xf numFmtId="0" fontId="0" fillId="6" borderId="12" xfId="0" applyFill="1" applyBorder="1" applyAlignment="1">
      <alignment horizontal="center" vertical="top" wrapText="1"/>
    </xf>
    <xf numFmtId="0" fontId="0" fillId="6" borderId="13" xfId="0" applyFill="1" applyBorder="1" applyAlignment="1">
      <alignment horizontal="center" vertical="top" wrapText="1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5" borderId="2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2" fillId="8" borderId="14" xfId="0" applyFont="1" applyFill="1" applyBorder="1" applyAlignment="1" applyProtection="1">
      <alignment horizontal="center" vertical="top" wrapText="1"/>
      <protection locked="0"/>
    </xf>
    <xf numFmtId="0" fontId="0" fillId="8" borderId="0" xfId="0" applyFill="1" applyAlignment="1" applyProtection="1">
      <alignment horizontal="center" vertical="top" wrapText="1"/>
      <protection locked="0"/>
    </xf>
    <xf numFmtId="0" fontId="4" fillId="8" borderId="0" xfId="0" applyFont="1" applyFill="1" applyAlignment="1" applyProtection="1">
      <alignment horizontal="center" vertical="top" wrapText="1"/>
      <protection locked="0"/>
    </xf>
    <xf numFmtId="0" fontId="4" fillId="8" borderId="15" xfId="0" applyFont="1" applyFill="1" applyBorder="1" applyAlignment="1" applyProtection="1">
      <alignment horizontal="center" vertical="top" wrapText="1"/>
      <protection locked="0"/>
    </xf>
    <xf numFmtId="0" fontId="4" fillId="8" borderId="14" xfId="0" applyFont="1" applyFill="1" applyBorder="1" applyAlignment="1" applyProtection="1">
      <alignment horizontal="center" vertical="top" wrapText="1"/>
      <protection locked="0"/>
    </xf>
    <xf numFmtId="0" fontId="4" fillId="8" borderId="7" xfId="0" applyFont="1" applyFill="1" applyBorder="1" applyAlignment="1" applyProtection="1">
      <alignment horizontal="center" vertical="top" wrapText="1"/>
      <protection locked="0"/>
    </xf>
    <xf numFmtId="0" fontId="4" fillId="8" borderId="12" xfId="0" applyFont="1" applyFill="1" applyBorder="1" applyAlignment="1" applyProtection="1">
      <alignment horizontal="center" vertical="top" wrapText="1"/>
      <protection locked="0"/>
    </xf>
    <xf numFmtId="0" fontId="4" fillId="8" borderId="13" xfId="0" applyFont="1" applyFill="1" applyBorder="1" applyAlignment="1" applyProtection="1">
      <alignment horizontal="center" vertical="top" wrapText="1"/>
      <protection locked="0"/>
    </xf>
    <xf numFmtId="0" fontId="0" fillId="6" borderId="14" xfId="0" applyFill="1" applyBorder="1" applyAlignment="1" applyProtection="1">
      <alignment horizontal="center" vertical="top" wrapText="1"/>
      <protection locked="0"/>
    </xf>
    <xf numFmtId="0" fontId="0" fillId="6" borderId="0" xfId="0" applyFill="1" applyAlignment="1" applyProtection="1">
      <alignment horizontal="center" vertical="top" wrapText="1"/>
      <protection locked="0"/>
    </xf>
    <xf numFmtId="0" fontId="0" fillId="6" borderId="15" xfId="0" applyFill="1" applyBorder="1" applyAlignment="1" applyProtection="1">
      <alignment horizontal="center" vertical="top" wrapText="1"/>
      <protection locked="0"/>
    </xf>
    <xf numFmtId="0" fontId="0" fillId="6" borderId="7" xfId="0" applyFill="1" applyBorder="1" applyAlignment="1" applyProtection="1">
      <alignment horizontal="center" vertical="top" wrapText="1"/>
      <protection locked="0"/>
    </xf>
    <xf numFmtId="0" fontId="0" fillId="6" borderId="12" xfId="0" applyFill="1" applyBorder="1" applyAlignment="1" applyProtection="1">
      <alignment horizontal="center" vertical="top" wrapText="1"/>
      <protection locked="0"/>
    </xf>
    <xf numFmtId="0" fontId="0" fillId="6" borderId="13" xfId="0" applyFill="1" applyBorder="1" applyAlignment="1" applyProtection="1">
      <alignment horizontal="center" vertical="top" wrapText="1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</cellXfs>
  <cellStyles count="1">
    <cellStyle name="Normal" xfId="0" builtinId="0"/>
  </cellStyles>
  <dxfs count="170"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00B050"/>
  </sheetPr>
  <dimension ref="A2:F28"/>
  <sheetViews>
    <sheetView topLeftCell="A9" workbookViewId="0">
      <selection activeCell="I16" sqref="I16"/>
    </sheetView>
  </sheetViews>
  <sheetFormatPr baseColWidth="10" defaultColWidth="11.44140625" defaultRowHeight="14.4" x14ac:dyDescent="0.3"/>
  <cols>
    <col min="1" max="3" width="11.44140625" style="3"/>
    <col min="4" max="4" width="14" style="3" customWidth="1"/>
    <col min="5" max="5" width="19.88671875" style="3" customWidth="1"/>
    <col min="6" max="6" width="67.6640625" style="3" customWidth="1"/>
    <col min="7" max="16384" width="11.44140625" style="3"/>
  </cols>
  <sheetData>
    <row r="2" spans="1:6" ht="15.75" customHeight="1" x14ac:dyDescent="0.3">
      <c r="A2" s="69" t="s">
        <v>54</v>
      </c>
      <c r="B2" s="69"/>
      <c r="C2" s="69"/>
      <c r="D2" s="69"/>
      <c r="E2" s="69"/>
      <c r="F2" s="69"/>
    </row>
    <row r="3" spans="1:6" ht="27" customHeight="1" thickBot="1" x14ac:dyDescent="0.35">
      <c r="A3" s="69" t="s">
        <v>56</v>
      </c>
      <c r="B3" s="69"/>
      <c r="C3" s="69"/>
      <c r="D3" s="69"/>
      <c r="E3" s="69"/>
      <c r="F3" s="69"/>
    </row>
    <row r="4" spans="1:6" x14ac:dyDescent="0.3">
      <c r="A4" s="74" t="s">
        <v>69</v>
      </c>
      <c r="B4" s="75"/>
      <c r="C4" s="75"/>
      <c r="D4" s="75"/>
      <c r="E4" s="4" t="s">
        <v>59</v>
      </c>
      <c r="F4" s="5" t="s">
        <v>60</v>
      </c>
    </row>
    <row r="5" spans="1:6" x14ac:dyDescent="0.3">
      <c r="A5" s="70" t="s">
        <v>55</v>
      </c>
      <c r="B5" s="71"/>
      <c r="C5" s="71"/>
      <c r="D5" s="71"/>
      <c r="E5" s="2" t="s">
        <v>57</v>
      </c>
      <c r="F5" s="6" t="s">
        <v>62</v>
      </c>
    </row>
    <row r="6" spans="1:6" ht="33.75" customHeight="1" x14ac:dyDescent="0.3">
      <c r="A6" s="76" t="s">
        <v>58</v>
      </c>
      <c r="B6" s="77"/>
      <c r="C6" s="77"/>
      <c r="D6" s="77"/>
      <c r="E6" s="2" t="s">
        <v>61</v>
      </c>
      <c r="F6" s="6" t="s">
        <v>63</v>
      </c>
    </row>
    <row r="7" spans="1:6" ht="54" customHeight="1" x14ac:dyDescent="0.3">
      <c r="A7" s="7"/>
      <c r="B7" s="71" t="s">
        <v>68</v>
      </c>
      <c r="C7" s="71"/>
      <c r="D7" s="71"/>
      <c r="E7" s="2" t="s">
        <v>102</v>
      </c>
      <c r="F7" s="6"/>
    </row>
    <row r="8" spans="1:6" ht="31.5" customHeight="1" x14ac:dyDescent="0.3">
      <c r="A8" s="7"/>
      <c r="B8" s="71" t="s">
        <v>73</v>
      </c>
      <c r="C8" s="71"/>
      <c r="D8" s="71"/>
      <c r="E8" s="2" t="s">
        <v>74</v>
      </c>
      <c r="F8" s="6" t="s">
        <v>103</v>
      </c>
    </row>
    <row r="9" spans="1:6" ht="28.5" customHeight="1" x14ac:dyDescent="0.3">
      <c r="A9" s="76" t="s">
        <v>64</v>
      </c>
      <c r="B9" s="77"/>
      <c r="C9" s="77"/>
      <c r="D9" s="77"/>
      <c r="E9" s="2" t="s">
        <v>67</v>
      </c>
      <c r="F9" s="6"/>
    </row>
    <row r="10" spans="1:6" ht="29.25" customHeight="1" x14ac:dyDescent="0.3">
      <c r="A10" s="7"/>
      <c r="B10" s="71" t="s">
        <v>70</v>
      </c>
      <c r="C10" s="71"/>
      <c r="D10" s="71"/>
      <c r="E10" s="2" t="s">
        <v>71</v>
      </c>
      <c r="F10" s="6" t="s">
        <v>72</v>
      </c>
    </row>
    <row r="11" spans="1:6" ht="59.25" customHeight="1" x14ac:dyDescent="0.3">
      <c r="A11" s="7"/>
      <c r="B11" s="71" t="s">
        <v>75</v>
      </c>
      <c r="C11" s="71"/>
      <c r="D11" s="71"/>
      <c r="E11" s="2" t="s">
        <v>79</v>
      </c>
      <c r="F11" s="6"/>
    </row>
    <row r="12" spans="1:6" ht="36" customHeight="1" x14ac:dyDescent="0.3">
      <c r="A12" s="7"/>
      <c r="B12" s="71" t="s">
        <v>76</v>
      </c>
      <c r="C12" s="71"/>
      <c r="D12" s="71"/>
      <c r="E12" s="2" t="s">
        <v>104</v>
      </c>
      <c r="F12" s="6"/>
    </row>
    <row r="13" spans="1:6" ht="46.5" customHeight="1" x14ac:dyDescent="0.3">
      <c r="A13" s="7"/>
      <c r="B13" s="71" t="s">
        <v>77</v>
      </c>
      <c r="C13" s="71"/>
      <c r="D13" s="71"/>
      <c r="E13" s="2" t="s">
        <v>105</v>
      </c>
      <c r="F13" s="6"/>
    </row>
    <row r="14" spans="1:6" ht="33.75" customHeight="1" x14ac:dyDescent="0.3">
      <c r="A14" s="7"/>
      <c r="B14" s="71" t="s">
        <v>78</v>
      </c>
      <c r="C14" s="71"/>
      <c r="D14" s="71"/>
      <c r="E14" s="2" t="s">
        <v>106</v>
      </c>
      <c r="F14" s="6"/>
    </row>
    <row r="15" spans="1:6" ht="43.5" customHeight="1" x14ac:dyDescent="0.3">
      <c r="A15" s="70" t="s">
        <v>83</v>
      </c>
      <c r="B15" s="71"/>
      <c r="C15" s="71"/>
      <c r="D15" s="71"/>
      <c r="E15" s="2" t="s">
        <v>79</v>
      </c>
      <c r="F15" s="6" t="s">
        <v>84</v>
      </c>
    </row>
    <row r="16" spans="1:6" ht="36" customHeight="1" x14ac:dyDescent="0.3">
      <c r="A16" s="70" t="s">
        <v>81</v>
      </c>
      <c r="B16" s="71"/>
      <c r="C16" s="71"/>
      <c r="D16" s="71"/>
      <c r="E16" s="2" t="s">
        <v>107</v>
      </c>
      <c r="F16" s="6" t="s">
        <v>80</v>
      </c>
    </row>
    <row r="17" spans="1:6" ht="31.5" customHeight="1" x14ac:dyDescent="0.3">
      <c r="A17" s="70" t="s">
        <v>82</v>
      </c>
      <c r="B17" s="71"/>
      <c r="C17" s="71"/>
      <c r="D17" s="71"/>
      <c r="E17" s="2" t="s">
        <v>108</v>
      </c>
      <c r="F17" s="6"/>
    </row>
    <row r="18" spans="1:6" ht="30.75" customHeight="1" x14ac:dyDescent="0.3">
      <c r="A18" s="70" t="s">
        <v>95</v>
      </c>
      <c r="B18" s="71"/>
      <c r="C18" s="71"/>
      <c r="D18" s="71"/>
      <c r="E18" s="2"/>
      <c r="F18" s="6" t="s">
        <v>96</v>
      </c>
    </row>
    <row r="19" spans="1:6" ht="16.5" customHeight="1" thickBot="1" x14ac:dyDescent="0.35">
      <c r="A19" s="72" t="s">
        <v>98</v>
      </c>
      <c r="B19" s="73"/>
      <c r="C19" s="73"/>
      <c r="D19" s="73"/>
      <c r="E19" s="8" t="s">
        <v>97</v>
      </c>
      <c r="F19" s="9"/>
    </row>
    <row r="22" spans="1:6" ht="23.1" customHeight="1" x14ac:dyDescent="0.3">
      <c r="A22" s="68" t="s">
        <v>109</v>
      </c>
      <c r="B22" s="68"/>
      <c r="C22" s="68"/>
      <c r="D22" s="68"/>
      <c r="E22" s="68"/>
      <c r="F22" s="68"/>
    </row>
    <row r="24" spans="1:6" ht="24" customHeight="1" x14ac:dyDescent="0.3">
      <c r="A24" s="68" t="s">
        <v>110</v>
      </c>
      <c r="B24" s="68"/>
      <c r="C24" s="68"/>
      <c r="D24" s="68"/>
      <c r="E24" s="68"/>
      <c r="F24" s="68"/>
    </row>
    <row r="26" spans="1:6" x14ac:dyDescent="0.3">
      <c r="A26" s="69"/>
      <c r="B26" s="69"/>
      <c r="C26" s="69"/>
      <c r="D26" s="69"/>
      <c r="E26" s="69"/>
      <c r="F26" s="69"/>
    </row>
    <row r="27" spans="1:6" x14ac:dyDescent="0.3">
      <c r="A27" s="69"/>
      <c r="B27" s="69"/>
      <c r="C27" s="69"/>
      <c r="D27" s="69"/>
      <c r="E27" s="69"/>
      <c r="F27" s="69"/>
    </row>
    <row r="28" spans="1:6" x14ac:dyDescent="0.3">
      <c r="A28" s="69"/>
      <c r="B28" s="69"/>
      <c r="C28" s="69"/>
      <c r="D28" s="69"/>
      <c r="E28" s="69"/>
      <c r="F28" s="69"/>
    </row>
  </sheetData>
  <mergeCells count="23">
    <mergeCell ref="B10:D10"/>
    <mergeCell ref="B11:D11"/>
    <mergeCell ref="B12:D12"/>
    <mergeCell ref="B13:D13"/>
    <mergeCell ref="A2:F2"/>
    <mergeCell ref="A3:F3"/>
    <mergeCell ref="A4:D4"/>
    <mergeCell ref="A6:D6"/>
    <mergeCell ref="A9:D9"/>
    <mergeCell ref="B8:D8"/>
    <mergeCell ref="A5:D5"/>
    <mergeCell ref="B7:D7"/>
    <mergeCell ref="A18:D18"/>
    <mergeCell ref="A19:D19"/>
    <mergeCell ref="B14:D14"/>
    <mergeCell ref="A16:D16"/>
    <mergeCell ref="A17:D17"/>
    <mergeCell ref="A15:D15"/>
    <mergeCell ref="A22:F22"/>
    <mergeCell ref="A24:F24"/>
    <mergeCell ref="A26:F26"/>
    <mergeCell ref="A27:F27"/>
    <mergeCell ref="A28:F28"/>
  </mergeCells>
  <printOptions horizontalCentered="1" verticalCentered="1"/>
  <pageMargins left="0.25" right="0.25" top="0.75" bottom="0.75" header="0.3" footer="0.3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00B050"/>
    <pageSetUpPr fitToPage="1"/>
  </sheetPr>
  <dimension ref="A1:AN62"/>
  <sheetViews>
    <sheetView topLeftCell="A13" workbookViewId="0">
      <selection activeCell="A10" sqref="A10:XFD1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21" width="8" customWidth="1"/>
    <col min="22" max="22" width="1.6640625" customWidth="1"/>
    <col min="23" max="23" width="10.33203125" customWidth="1"/>
    <col min="24" max="24" width="2" customWidth="1"/>
    <col min="25" max="40" width="0" hidden="1" customWidth="1"/>
  </cols>
  <sheetData>
    <row r="1" spans="1:40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3"/>
      <c r="Z1">
        <v>1</v>
      </c>
      <c r="AA1">
        <v>2</v>
      </c>
      <c r="AB1">
        <v>3</v>
      </c>
      <c r="AC1">
        <v>4</v>
      </c>
      <c r="AD1">
        <v>5</v>
      </c>
      <c r="AE1">
        <v>6</v>
      </c>
      <c r="AF1">
        <v>7</v>
      </c>
      <c r="AG1">
        <v>8</v>
      </c>
      <c r="AH1">
        <v>9</v>
      </c>
      <c r="AI1">
        <v>10</v>
      </c>
      <c r="AJ1">
        <v>11</v>
      </c>
      <c r="AK1">
        <v>12</v>
      </c>
      <c r="AL1">
        <v>13</v>
      </c>
      <c r="AM1">
        <v>14</v>
      </c>
      <c r="AN1">
        <v>15</v>
      </c>
    </row>
    <row r="2" spans="1:40" ht="24" customHeight="1" thickBot="1" x14ac:dyDescent="0.35">
      <c r="A2" s="11"/>
      <c r="B2" s="12" t="s">
        <v>48</v>
      </c>
      <c r="C2" s="114" t="s">
        <v>85</v>
      </c>
      <c r="D2" s="114"/>
      <c r="E2" s="115"/>
      <c r="G2" s="12" t="s">
        <v>53</v>
      </c>
      <c r="H2" s="114" t="s">
        <v>86</v>
      </c>
      <c r="I2" s="114"/>
      <c r="J2" s="115"/>
      <c r="S2" s="12" t="s">
        <v>49</v>
      </c>
      <c r="T2" s="114" t="s">
        <v>87</v>
      </c>
      <c r="U2" s="114"/>
      <c r="V2" s="114"/>
      <c r="W2" s="115"/>
      <c r="Y2">
        <v>0</v>
      </c>
      <c r="Z2">
        <f>IF($C$3&gt;=Z$1,Y2,"")</f>
        <v>0</v>
      </c>
      <c r="AA2">
        <f>IF($C$3&gt;=AA$1,Z2,"")</f>
        <v>0</v>
      </c>
      <c r="AB2">
        <f>IF($C$3&gt;=AB$1,AA2,"")</f>
        <v>0</v>
      </c>
      <c r="AC2">
        <f t="shared" ref="AC2:AM2" si="0">IF($C$3&gt;=AC$1,AB2,"")</f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 t="str">
        <f t="shared" si="0"/>
        <v/>
      </c>
      <c r="AL2" t="str">
        <f t="shared" si="0"/>
        <v/>
      </c>
      <c r="AM2" t="str">
        <f t="shared" si="0"/>
        <v/>
      </c>
      <c r="AN2" t="str">
        <f t="shared" ref="AN2:AN62" si="1">IF($C$3&gt;=AN$1,AM2,"")</f>
        <v/>
      </c>
    </row>
    <row r="3" spans="1:40" ht="28.8" x14ac:dyDescent="0.3">
      <c r="A3" s="11"/>
      <c r="B3" s="13" t="s">
        <v>33</v>
      </c>
      <c r="C3" s="14">
        <v>11</v>
      </c>
      <c r="D3" s="15" t="s">
        <v>15</v>
      </c>
      <c r="E3" s="15" t="s">
        <v>17</v>
      </c>
      <c r="F3" s="16"/>
      <c r="G3" s="17" t="s">
        <v>1</v>
      </c>
      <c r="H3" s="17" t="s">
        <v>2</v>
      </c>
      <c r="I3" s="17" t="s">
        <v>3</v>
      </c>
      <c r="J3" s="17" t="s">
        <v>4</v>
      </c>
      <c r="K3" s="18" t="s">
        <v>5</v>
      </c>
      <c r="L3" s="18" t="s">
        <v>6</v>
      </c>
      <c r="M3" s="18" t="s">
        <v>7</v>
      </c>
      <c r="N3" s="18" t="s">
        <v>8</v>
      </c>
      <c r="O3" s="18" t="s">
        <v>9</v>
      </c>
      <c r="P3" s="18" t="s">
        <v>10</v>
      </c>
      <c r="Q3" s="18" t="s">
        <v>11</v>
      </c>
      <c r="R3" s="18" t="s">
        <v>12</v>
      </c>
      <c r="S3" s="17" t="s">
        <v>34</v>
      </c>
      <c r="T3" s="17" t="s">
        <v>35</v>
      </c>
      <c r="U3" s="17" t="s">
        <v>36</v>
      </c>
      <c r="W3" s="19" t="s">
        <v>66</v>
      </c>
      <c r="Y3">
        <v>1</v>
      </c>
      <c r="Z3">
        <f t="shared" ref="Z3:AM62" si="2">IF($C$3&gt;=Z$1,Y3,"")</f>
        <v>1</v>
      </c>
      <c r="AA3">
        <f t="shared" si="2"/>
        <v>1</v>
      </c>
      <c r="AB3">
        <f t="shared" si="2"/>
        <v>1</v>
      </c>
      <c r="AC3">
        <f t="shared" si="2"/>
        <v>1</v>
      </c>
      <c r="AD3">
        <f t="shared" si="2"/>
        <v>1</v>
      </c>
      <c r="AE3">
        <f t="shared" si="2"/>
        <v>1</v>
      </c>
      <c r="AF3">
        <f t="shared" si="2"/>
        <v>1</v>
      </c>
      <c r="AG3">
        <f t="shared" si="2"/>
        <v>1</v>
      </c>
      <c r="AH3">
        <f t="shared" si="2"/>
        <v>1</v>
      </c>
      <c r="AI3">
        <f t="shared" si="2"/>
        <v>1</v>
      </c>
      <c r="AJ3">
        <f t="shared" si="2"/>
        <v>1</v>
      </c>
      <c r="AK3" t="str">
        <f t="shared" si="2"/>
        <v/>
      </c>
      <c r="AL3" t="str">
        <f t="shared" si="2"/>
        <v/>
      </c>
      <c r="AM3" t="str">
        <f t="shared" si="2"/>
        <v/>
      </c>
      <c r="AN3" t="str">
        <f t="shared" si="1"/>
        <v/>
      </c>
    </row>
    <row r="4" spans="1:40" x14ac:dyDescent="0.3">
      <c r="A4" s="11"/>
      <c r="B4" s="58" t="s">
        <v>99</v>
      </c>
      <c r="C4" s="20" t="s">
        <v>27</v>
      </c>
      <c r="D4" s="21">
        <v>10</v>
      </c>
      <c r="E4" s="22">
        <f>D4-SUM(G4:U4)</f>
        <v>0</v>
      </c>
      <c r="F4" s="16"/>
      <c r="G4" s="21">
        <v>10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23"/>
      <c r="S4" s="21"/>
      <c r="T4" s="21"/>
      <c r="U4" s="21"/>
      <c r="W4" s="24">
        <f>SUM(D4:D7)</f>
        <v>118</v>
      </c>
      <c r="Y4">
        <v>2</v>
      </c>
      <c r="Z4">
        <f t="shared" si="2"/>
        <v>2</v>
      </c>
      <c r="AA4">
        <f t="shared" si="2"/>
        <v>2</v>
      </c>
      <c r="AB4">
        <f t="shared" si="2"/>
        <v>2</v>
      </c>
      <c r="AC4">
        <f t="shared" si="2"/>
        <v>2</v>
      </c>
      <c r="AD4">
        <f t="shared" si="2"/>
        <v>2</v>
      </c>
      <c r="AE4">
        <f t="shared" ref="AE4:AM19" si="3">IF($C$3&gt;=AE$1,AD4,"")</f>
        <v>2</v>
      </c>
      <c r="AF4">
        <f t="shared" si="3"/>
        <v>2</v>
      </c>
      <c r="AG4">
        <f t="shared" si="3"/>
        <v>2</v>
      </c>
      <c r="AH4">
        <f t="shared" si="3"/>
        <v>2</v>
      </c>
      <c r="AI4">
        <f t="shared" si="3"/>
        <v>2</v>
      </c>
      <c r="AJ4">
        <f t="shared" si="3"/>
        <v>2</v>
      </c>
      <c r="AK4" t="str">
        <f t="shared" si="3"/>
        <v/>
      </c>
      <c r="AL4" t="str">
        <f t="shared" si="3"/>
        <v/>
      </c>
      <c r="AM4" t="str">
        <f t="shared" si="3"/>
        <v/>
      </c>
      <c r="AN4" t="str">
        <f t="shared" si="1"/>
        <v/>
      </c>
    </row>
    <row r="5" spans="1:40" x14ac:dyDescent="0.3">
      <c r="A5" s="11"/>
      <c r="B5" s="57"/>
      <c r="C5" s="20" t="s">
        <v>26</v>
      </c>
      <c r="D5" s="21">
        <v>28</v>
      </c>
      <c r="E5" s="22">
        <f t="shared" ref="E5:E14" si="4">D5-SUM(G5:U5)</f>
        <v>0</v>
      </c>
      <c r="F5" s="16"/>
      <c r="G5" s="21">
        <v>17</v>
      </c>
      <c r="H5" s="21">
        <v>11</v>
      </c>
      <c r="I5" s="21"/>
      <c r="J5" s="21"/>
      <c r="K5" s="21"/>
      <c r="L5" s="21"/>
      <c r="M5" s="21"/>
      <c r="N5" s="21"/>
      <c r="O5" s="21"/>
      <c r="P5" s="21"/>
      <c r="Q5" s="21"/>
      <c r="R5" s="23"/>
      <c r="S5" s="21"/>
      <c r="T5" s="21"/>
      <c r="U5" s="21"/>
      <c r="W5" s="25"/>
      <c r="Y5">
        <v>3</v>
      </c>
      <c r="Z5">
        <f t="shared" si="2"/>
        <v>3</v>
      </c>
      <c r="AA5">
        <f t="shared" si="2"/>
        <v>3</v>
      </c>
      <c r="AB5">
        <f t="shared" ref="AB5:AL5" si="5">IF($C$3&gt;=AB$1,AA5,"")</f>
        <v>3</v>
      </c>
      <c r="AC5">
        <f t="shared" si="5"/>
        <v>3</v>
      </c>
      <c r="AD5">
        <f t="shared" si="5"/>
        <v>3</v>
      </c>
      <c r="AE5">
        <f t="shared" si="5"/>
        <v>3</v>
      </c>
      <c r="AF5">
        <f t="shared" si="5"/>
        <v>3</v>
      </c>
      <c r="AG5">
        <f t="shared" si="5"/>
        <v>3</v>
      </c>
      <c r="AH5">
        <f t="shared" si="5"/>
        <v>3</v>
      </c>
      <c r="AI5">
        <f t="shared" si="5"/>
        <v>3</v>
      </c>
      <c r="AJ5">
        <f t="shared" si="5"/>
        <v>3</v>
      </c>
      <c r="AK5" t="str">
        <f t="shared" si="5"/>
        <v/>
      </c>
      <c r="AL5" t="str">
        <f t="shared" si="5"/>
        <v/>
      </c>
      <c r="AM5" t="str">
        <f t="shared" si="3"/>
        <v/>
      </c>
      <c r="AN5" t="str">
        <f t="shared" si="1"/>
        <v/>
      </c>
    </row>
    <row r="6" spans="1:40" x14ac:dyDescent="0.3">
      <c r="A6" s="11"/>
      <c r="B6" s="57"/>
      <c r="C6" s="20" t="s">
        <v>25</v>
      </c>
      <c r="D6" s="21">
        <v>38</v>
      </c>
      <c r="E6" s="22">
        <f t="shared" si="4"/>
        <v>0</v>
      </c>
      <c r="F6" s="16"/>
      <c r="G6" s="21"/>
      <c r="H6" s="21">
        <v>15</v>
      </c>
      <c r="I6" s="21">
        <v>23</v>
      </c>
      <c r="J6" s="21"/>
      <c r="K6" s="21"/>
      <c r="L6" s="21"/>
      <c r="M6" s="21"/>
      <c r="N6" s="21"/>
      <c r="O6" s="21"/>
      <c r="P6" s="21"/>
      <c r="Q6" s="21"/>
      <c r="R6" s="23"/>
      <c r="S6" s="21"/>
      <c r="T6" s="21"/>
      <c r="U6" s="21"/>
      <c r="W6" s="26" t="s">
        <v>52</v>
      </c>
      <c r="Y6">
        <v>4</v>
      </c>
      <c r="Z6">
        <f t="shared" si="2"/>
        <v>4</v>
      </c>
      <c r="AA6">
        <f t="shared" si="2"/>
        <v>4</v>
      </c>
      <c r="AB6">
        <f t="shared" ref="AB6:AM6" si="6">IF($C$3&gt;=AB$1,AA6,"")</f>
        <v>4</v>
      </c>
      <c r="AC6">
        <f t="shared" si="6"/>
        <v>4</v>
      </c>
      <c r="AD6">
        <f t="shared" si="6"/>
        <v>4</v>
      </c>
      <c r="AE6">
        <f t="shared" si="6"/>
        <v>4</v>
      </c>
      <c r="AF6">
        <f t="shared" si="6"/>
        <v>4</v>
      </c>
      <c r="AG6">
        <f t="shared" si="6"/>
        <v>4</v>
      </c>
      <c r="AH6">
        <f t="shared" si="6"/>
        <v>4</v>
      </c>
      <c r="AI6">
        <f t="shared" si="6"/>
        <v>4</v>
      </c>
      <c r="AJ6">
        <f t="shared" si="6"/>
        <v>4</v>
      </c>
      <c r="AK6" t="str">
        <f t="shared" si="6"/>
        <v/>
      </c>
      <c r="AL6" t="str">
        <f t="shared" si="6"/>
        <v/>
      </c>
      <c r="AM6" t="str">
        <f t="shared" si="6"/>
        <v/>
      </c>
      <c r="AN6" t="str">
        <f t="shared" si="1"/>
        <v/>
      </c>
    </row>
    <row r="7" spans="1:40" x14ac:dyDescent="0.3">
      <c r="A7" s="11"/>
      <c r="B7" s="57"/>
      <c r="C7" s="20" t="s">
        <v>24</v>
      </c>
      <c r="D7" s="21">
        <v>42</v>
      </c>
      <c r="E7" s="22">
        <f t="shared" si="4"/>
        <v>0</v>
      </c>
      <c r="F7" s="16"/>
      <c r="G7" s="21"/>
      <c r="H7" s="21"/>
      <c r="I7" s="21"/>
      <c r="J7" s="21">
        <v>29</v>
      </c>
      <c r="K7" s="21">
        <v>13</v>
      </c>
      <c r="L7" s="21"/>
      <c r="M7" s="21"/>
      <c r="N7" s="21"/>
      <c r="O7" s="21"/>
      <c r="P7" s="21"/>
      <c r="Q7" s="21"/>
      <c r="R7" s="23"/>
      <c r="S7" s="21"/>
      <c r="T7" s="21"/>
      <c r="U7" s="21"/>
      <c r="W7" s="27">
        <f>SUM(D8:D14)</f>
        <v>176</v>
      </c>
      <c r="Y7">
        <v>5</v>
      </c>
      <c r="Z7">
        <f t="shared" si="2"/>
        <v>5</v>
      </c>
      <c r="AA7">
        <f t="shared" si="2"/>
        <v>5</v>
      </c>
      <c r="AB7">
        <f t="shared" ref="AB7:AL7" si="7">IF($C$3&gt;=AB$1,AA7,"")</f>
        <v>5</v>
      </c>
      <c r="AC7">
        <f t="shared" si="7"/>
        <v>5</v>
      </c>
      <c r="AD7">
        <f t="shared" si="7"/>
        <v>5</v>
      </c>
      <c r="AE7">
        <f t="shared" si="7"/>
        <v>5</v>
      </c>
      <c r="AF7">
        <f t="shared" si="7"/>
        <v>5</v>
      </c>
      <c r="AG7">
        <f t="shared" si="7"/>
        <v>5</v>
      </c>
      <c r="AH7">
        <f t="shared" si="7"/>
        <v>5</v>
      </c>
      <c r="AI7">
        <f t="shared" si="7"/>
        <v>5</v>
      </c>
      <c r="AJ7">
        <f t="shared" si="7"/>
        <v>5</v>
      </c>
      <c r="AK7" t="str">
        <f t="shared" si="7"/>
        <v/>
      </c>
      <c r="AL7" t="str">
        <f t="shared" si="7"/>
        <v/>
      </c>
      <c r="AM7" t="str">
        <f t="shared" si="3"/>
        <v/>
      </c>
      <c r="AN7" t="str">
        <f t="shared" si="1"/>
        <v/>
      </c>
    </row>
    <row r="8" spans="1:40" x14ac:dyDescent="0.3">
      <c r="A8" s="11"/>
      <c r="B8" s="57"/>
      <c r="C8" s="20" t="s">
        <v>23</v>
      </c>
      <c r="D8" s="21">
        <v>40</v>
      </c>
      <c r="E8" s="22">
        <f t="shared" si="4"/>
        <v>0</v>
      </c>
      <c r="F8" s="16"/>
      <c r="G8" s="21"/>
      <c r="H8" s="21"/>
      <c r="I8" s="21"/>
      <c r="J8" s="21"/>
      <c r="K8" s="21">
        <v>14</v>
      </c>
      <c r="L8" s="21">
        <v>26</v>
      </c>
      <c r="M8" s="21"/>
      <c r="N8" s="21"/>
      <c r="O8" s="21"/>
      <c r="P8" s="21"/>
      <c r="Q8" s="21"/>
      <c r="R8" s="23"/>
      <c r="S8" s="21"/>
      <c r="T8" s="21"/>
      <c r="U8" s="21"/>
      <c r="W8" s="26" t="s">
        <v>50</v>
      </c>
      <c r="Y8">
        <v>6</v>
      </c>
      <c r="Z8">
        <f t="shared" si="2"/>
        <v>6</v>
      </c>
      <c r="AA8">
        <f t="shared" si="2"/>
        <v>6</v>
      </c>
      <c r="AB8">
        <f t="shared" ref="AB8:AM8" si="8">IF($C$3&gt;=AB$1,AA8,"")</f>
        <v>6</v>
      </c>
      <c r="AC8">
        <f t="shared" si="8"/>
        <v>6</v>
      </c>
      <c r="AD8">
        <f t="shared" si="8"/>
        <v>6</v>
      </c>
      <c r="AE8">
        <f t="shared" si="8"/>
        <v>6</v>
      </c>
      <c r="AF8">
        <f t="shared" si="8"/>
        <v>6</v>
      </c>
      <c r="AG8">
        <f t="shared" si="8"/>
        <v>6</v>
      </c>
      <c r="AH8">
        <f t="shared" si="8"/>
        <v>6</v>
      </c>
      <c r="AI8">
        <f t="shared" si="8"/>
        <v>6</v>
      </c>
      <c r="AJ8">
        <f t="shared" si="8"/>
        <v>6</v>
      </c>
      <c r="AK8" t="str">
        <f t="shared" si="8"/>
        <v/>
      </c>
      <c r="AL8" t="str">
        <f t="shared" si="8"/>
        <v/>
      </c>
      <c r="AM8" t="str">
        <f t="shared" si="8"/>
        <v/>
      </c>
      <c r="AN8" t="str">
        <f t="shared" si="1"/>
        <v/>
      </c>
    </row>
    <row r="9" spans="1:40" x14ac:dyDescent="0.3">
      <c r="A9" s="11"/>
      <c r="B9" s="57"/>
      <c r="C9" s="20" t="s">
        <v>22</v>
      </c>
      <c r="D9" s="21">
        <v>24</v>
      </c>
      <c r="E9" s="22">
        <f t="shared" si="4"/>
        <v>0</v>
      </c>
      <c r="F9" s="16"/>
      <c r="G9" s="21"/>
      <c r="H9" s="21"/>
      <c r="I9" s="21"/>
      <c r="J9" s="21"/>
      <c r="K9" s="21"/>
      <c r="L9" s="21"/>
      <c r="M9" s="21">
        <v>24</v>
      </c>
      <c r="N9" s="21"/>
      <c r="O9" s="21"/>
      <c r="P9" s="21"/>
      <c r="Q9" s="21"/>
      <c r="R9" s="23"/>
      <c r="S9" s="21"/>
      <c r="T9" s="21"/>
      <c r="U9" s="21"/>
      <c r="W9" s="26">
        <f>SUM(D8:D9)</f>
        <v>64</v>
      </c>
      <c r="Y9">
        <v>7</v>
      </c>
      <c r="Z9">
        <f t="shared" si="2"/>
        <v>7</v>
      </c>
      <c r="AA9">
        <f t="shared" si="2"/>
        <v>7</v>
      </c>
      <c r="AB9">
        <f t="shared" ref="AB9:AL9" si="9">IF($C$3&gt;=AB$1,AA9,"")</f>
        <v>7</v>
      </c>
      <c r="AC9">
        <f t="shared" si="9"/>
        <v>7</v>
      </c>
      <c r="AD9">
        <f t="shared" si="9"/>
        <v>7</v>
      </c>
      <c r="AE9">
        <f t="shared" si="9"/>
        <v>7</v>
      </c>
      <c r="AF9">
        <f t="shared" si="9"/>
        <v>7</v>
      </c>
      <c r="AG9">
        <f t="shared" si="9"/>
        <v>7</v>
      </c>
      <c r="AH9">
        <f t="shared" si="9"/>
        <v>7</v>
      </c>
      <c r="AI9">
        <f t="shared" si="9"/>
        <v>7</v>
      </c>
      <c r="AJ9">
        <f t="shared" si="9"/>
        <v>7</v>
      </c>
      <c r="AK9" t="str">
        <f t="shared" si="9"/>
        <v/>
      </c>
      <c r="AL9" t="str">
        <f t="shared" si="9"/>
        <v/>
      </c>
      <c r="AM9" t="str">
        <f t="shared" si="3"/>
        <v/>
      </c>
      <c r="AN9" t="str">
        <f t="shared" si="1"/>
        <v/>
      </c>
    </row>
    <row r="10" spans="1:40" x14ac:dyDescent="0.3">
      <c r="A10" s="11"/>
      <c r="B10" s="57"/>
      <c r="C10" s="20" t="s">
        <v>21</v>
      </c>
      <c r="D10" s="21">
        <v>36</v>
      </c>
      <c r="E10" s="22">
        <f t="shared" si="4"/>
        <v>0</v>
      </c>
      <c r="F10" s="16"/>
      <c r="G10" s="21"/>
      <c r="H10" s="21"/>
      <c r="I10" s="21"/>
      <c r="J10" s="21"/>
      <c r="K10" s="21"/>
      <c r="L10" s="21"/>
      <c r="M10" s="21"/>
      <c r="N10" s="21">
        <v>27</v>
      </c>
      <c r="O10" s="21">
        <v>9</v>
      </c>
      <c r="P10" s="21"/>
      <c r="Q10" s="21"/>
      <c r="R10" s="23"/>
      <c r="S10" s="21"/>
      <c r="T10" s="21"/>
      <c r="U10" s="21"/>
      <c r="W10" s="26" t="s">
        <v>51</v>
      </c>
      <c r="Y10">
        <v>8</v>
      </c>
      <c r="Z10">
        <f t="shared" si="2"/>
        <v>8</v>
      </c>
      <c r="AA10">
        <f t="shared" si="2"/>
        <v>8</v>
      </c>
      <c r="AB10">
        <f t="shared" ref="AB10:AM10" si="10">IF($C$3&gt;=AB$1,AA10,"")</f>
        <v>8</v>
      </c>
      <c r="AC10">
        <f t="shared" si="10"/>
        <v>8</v>
      </c>
      <c r="AD10">
        <f t="shared" si="10"/>
        <v>8</v>
      </c>
      <c r="AE10">
        <f t="shared" si="10"/>
        <v>8</v>
      </c>
      <c r="AF10">
        <f t="shared" si="10"/>
        <v>8</v>
      </c>
      <c r="AG10">
        <f t="shared" si="10"/>
        <v>8</v>
      </c>
      <c r="AH10">
        <f t="shared" si="10"/>
        <v>8</v>
      </c>
      <c r="AI10">
        <f t="shared" si="10"/>
        <v>8</v>
      </c>
      <c r="AJ10">
        <f t="shared" si="10"/>
        <v>8</v>
      </c>
      <c r="AK10" t="str">
        <f t="shared" si="10"/>
        <v/>
      </c>
      <c r="AL10" t="str">
        <f t="shared" si="10"/>
        <v/>
      </c>
      <c r="AM10" t="str">
        <f t="shared" si="10"/>
        <v/>
      </c>
      <c r="AN10" t="str">
        <f t="shared" si="1"/>
        <v/>
      </c>
    </row>
    <row r="11" spans="1:40" x14ac:dyDescent="0.3">
      <c r="A11" s="11"/>
      <c r="B11" s="57"/>
      <c r="C11" s="20" t="s">
        <v>20</v>
      </c>
      <c r="D11" s="21">
        <v>31</v>
      </c>
      <c r="E11" s="22">
        <f t="shared" si="4"/>
        <v>0</v>
      </c>
      <c r="F11" s="16"/>
      <c r="G11" s="21"/>
      <c r="H11" s="21"/>
      <c r="I11" s="21"/>
      <c r="J11" s="21"/>
      <c r="K11" s="21"/>
      <c r="L11" s="21"/>
      <c r="M11" s="21"/>
      <c r="N11" s="21"/>
      <c r="O11" s="21">
        <v>19</v>
      </c>
      <c r="P11" s="21">
        <v>12</v>
      </c>
      <c r="Q11" s="21"/>
      <c r="R11" s="21"/>
      <c r="S11" s="21"/>
      <c r="T11" s="21"/>
      <c r="U11" s="21"/>
      <c r="W11" s="28">
        <f>SUM(D10:D14)</f>
        <v>112</v>
      </c>
      <c r="Y11">
        <v>9</v>
      </c>
      <c r="Z11">
        <f t="shared" si="2"/>
        <v>9</v>
      </c>
      <c r="AA11">
        <f t="shared" si="2"/>
        <v>9</v>
      </c>
      <c r="AB11">
        <f t="shared" ref="AB11:AL11" si="11">IF($C$3&gt;=AB$1,AA11,"")</f>
        <v>9</v>
      </c>
      <c r="AC11">
        <f t="shared" si="11"/>
        <v>9</v>
      </c>
      <c r="AD11">
        <f t="shared" si="11"/>
        <v>9</v>
      </c>
      <c r="AE11">
        <f t="shared" si="11"/>
        <v>9</v>
      </c>
      <c r="AF11">
        <f t="shared" si="11"/>
        <v>9</v>
      </c>
      <c r="AG11">
        <f t="shared" si="11"/>
        <v>9</v>
      </c>
      <c r="AH11">
        <f t="shared" si="11"/>
        <v>9</v>
      </c>
      <c r="AI11">
        <f t="shared" si="11"/>
        <v>9</v>
      </c>
      <c r="AJ11">
        <f t="shared" si="11"/>
        <v>9</v>
      </c>
      <c r="AK11" t="str">
        <f t="shared" si="11"/>
        <v/>
      </c>
      <c r="AL11" t="str">
        <f t="shared" si="11"/>
        <v/>
      </c>
      <c r="AM11" t="str">
        <f t="shared" si="3"/>
        <v/>
      </c>
      <c r="AN11" t="str">
        <f t="shared" si="1"/>
        <v/>
      </c>
    </row>
    <row r="12" spans="1:40" x14ac:dyDescent="0.3">
      <c r="A12" s="11"/>
      <c r="B12" s="57"/>
      <c r="C12" s="20" t="s">
        <v>19</v>
      </c>
      <c r="D12" s="21">
        <v>45</v>
      </c>
      <c r="E12" s="22">
        <f t="shared" si="4"/>
        <v>0</v>
      </c>
      <c r="F12" s="16"/>
      <c r="G12" s="21"/>
      <c r="H12" s="21"/>
      <c r="I12" s="21"/>
      <c r="J12" s="21"/>
      <c r="K12" s="21"/>
      <c r="L12" s="21"/>
      <c r="M12" s="21"/>
      <c r="N12" s="21"/>
      <c r="O12" s="21"/>
      <c r="P12" s="21">
        <v>16</v>
      </c>
      <c r="Q12" s="21">
        <v>29</v>
      </c>
      <c r="R12" s="21"/>
      <c r="S12" s="21"/>
      <c r="T12" s="21"/>
      <c r="U12" s="21"/>
      <c r="W12" s="29"/>
      <c r="Y12">
        <v>10</v>
      </c>
      <c r="Z12">
        <f t="shared" si="2"/>
        <v>10</v>
      </c>
      <c r="AA12">
        <f t="shared" si="2"/>
        <v>10</v>
      </c>
      <c r="AB12">
        <f t="shared" ref="AB12:AM12" si="12">IF($C$3&gt;=AB$1,AA12,"")</f>
        <v>10</v>
      </c>
      <c r="AC12">
        <f t="shared" si="12"/>
        <v>10</v>
      </c>
      <c r="AD12">
        <f t="shared" si="12"/>
        <v>10</v>
      </c>
      <c r="AE12">
        <f t="shared" si="12"/>
        <v>10</v>
      </c>
      <c r="AF12">
        <f t="shared" si="12"/>
        <v>10</v>
      </c>
      <c r="AG12">
        <f t="shared" si="12"/>
        <v>10</v>
      </c>
      <c r="AH12">
        <f t="shared" si="12"/>
        <v>10</v>
      </c>
      <c r="AI12">
        <f t="shared" si="12"/>
        <v>10</v>
      </c>
      <c r="AJ12">
        <f t="shared" si="12"/>
        <v>10</v>
      </c>
      <c r="AK12" t="str">
        <f t="shared" si="12"/>
        <v/>
      </c>
      <c r="AL12" t="str">
        <f t="shared" si="12"/>
        <v/>
      </c>
      <c r="AM12" t="str">
        <f t="shared" si="12"/>
        <v/>
      </c>
      <c r="AN12" t="str">
        <f t="shared" si="1"/>
        <v/>
      </c>
    </row>
    <row r="13" spans="1:40" x14ac:dyDescent="0.3">
      <c r="A13" s="11"/>
      <c r="B13" s="57"/>
      <c r="C13" s="30" t="s">
        <v>101</v>
      </c>
      <c r="D13" s="21"/>
      <c r="E13" s="22">
        <f t="shared" si="4"/>
        <v>0</v>
      </c>
      <c r="F13" s="16"/>
      <c r="G13" s="23"/>
      <c r="H13" s="23"/>
      <c r="I13" s="23"/>
      <c r="J13" s="23"/>
      <c r="K13" s="23"/>
      <c r="L13" s="23"/>
      <c r="M13" s="23"/>
      <c r="N13" s="23"/>
      <c r="O13" s="23"/>
      <c r="P13" s="21"/>
      <c r="Q13" s="21"/>
      <c r="R13" s="21"/>
      <c r="S13" s="21"/>
      <c r="T13" s="21"/>
      <c r="U13" s="21"/>
      <c r="W13" s="31" t="s">
        <v>65</v>
      </c>
      <c r="Y13">
        <v>11</v>
      </c>
      <c r="Z13">
        <f t="shared" si="2"/>
        <v>11</v>
      </c>
      <c r="AA13">
        <f t="shared" si="2"/>
        <v>11</v>
      </c>
      <c r="AB13">
        <f t="shared" ref="AB13:AL13" si="13">IF($C$3&gt;=AB$1,AA13,"")</f>
        <v>11</v>
      </c>
      <c r="AC13">
        <f t="shared" si="13"/>
        <v>11</v>
      </c>
      <c r="AD13">
        <f t="shared" si="13"/>
        <v>11</v>
      </c>
      <c r="AE13">
        <f t="shared" si="13"/>
        <v>11</v>
      </c>
      <c r="AF13">
        <f t="shared" si="13"/>
        <v>11</v>
      </c>
      <c r="AG13">
        <f t="shared" si="13"/>
        <v>11</v>
      </c>
      <c r="AH13">
        <f t="shared" si="13"/>
        <v>11</v>
      </c>
      <c r="AI13">
        <f t="shared" si="13"/>
        <v>11</v>
      </c>
      <c r="AJ13">
        <f t="shared" si="13"/>
        <v>11</v>
      </c>
      <c r="AK13" t="str">
        <f t="shared" si="13"/>
        <v/>
      </c>
      <c r="AL13" t="str">
        <f t="shared" si="13"/>
        <v/>
      </c>
      <c r="AM13" t="str">
        <f t="shared" si="3"/>
        <v/>
      </c>
      <c r="AN13" t="str">
        <f t="shared" si="1"/>
        <v/>
      </c>
    </row>
    <row r="14" spans="1:40" x14ac:dyDescent="0.3">
      <c r="A14" s="11"/>
      <c r="B14" s="57"/>
      <c r="C14" s="30"/>
      <c r="D14" s="21"/>
      <c r="E14" s="22">
        <f t="shared" si="4"/>
        <v>0</v>
      </c>
      <c r="F14" s="16"/>
      <c r="G14" s="23"/>
      <c r="H14" s="23"/>
      <c r="I14" s="23"/>
      <c r="J14" s="23"/>
      <c r="K14" s="23"/>
      <c r="L14" s="23"/>
      <c r="M14" s="23"/>
      <c r="N14" s="23"/>
      <c r="O14" s="23"/>
      <c r="P14" s="21"/>
      <c r="Q14" s="21"/>
      <c r="R14" s="21"/>
      <c r="S14" s="21"/>
      <c r="T14" s="21"/>
      <c r="U14" s="21"/>
      <c r="W14" s="32">
        <f>SUM(D13:D14)</f>
        <v>0</v>
      </c>
      <c r="Y14">
        <v>12</v>
      </c>
      <c r="Z14">
        <f t="shared" si="2"/>
        <v>12</v>
      </c>
      <c r="AA14">
        <f t="shared" si="2"/>
        <v>12</v>
      </c>
      <c r="AB14">
        <f t="shared" ref="AB14:AM14" si="14">IF($C$3&gt;=AB$1,AA14,"")</f>
        <v>12</v>
      </c>
      <c r="AC14">
        <f t="shared" si="14"/>
        <v>12</v>
      </c>
      <c r="AD14">
        <f t="shared" si="14"/>
        <v>12</v>
      </c>
      <c r="AE14">
        <f t="shared" si="14"/>
        <v>12</v>
      </c>
      <c r="AF14">
        <f t="shared" si="14"/>
        <v>12</v>
      </c>
      <c r="AG14">
        <f t="shared" si="14"/>
        <v>12</v>
      </c>
      <c r="AH14">
        <f t="shared" si="14"/>
        <v>12</v>
      </c>
      <c r="AI14">
        <f t="shared" si="14"/>
        <v>12</v>
      </c>
      <c r="AJ14">
        <f t="shared" si="14"/>
        <v>12</v>
      </c>
      <c r="AK14" t="str">
        <f t="shared" si="14"/>
        <v/>
      </c>
      <c r="AL14" t="str">
        <f t="shared" si="14"/>
        <v/>
      </c>
      <c r="AM14" t="str">
        <f t="shared" si="14"/>
        <v/>
      </c>
      <c r="AN14" t="str">
        <f t="shared" si="1"/>
        <v/>
      </c>
    </row>
    <row r="15" spans="1:40" ht="15" thickBot="1" x14ac:dyDescent="0.35">
      <c r="A15" s="11"/>
      <c r="B15" s="11"/>
      <c r="E15" s="33"/>
      <c r="F15" s="16"/>
      <c r="G15" t="s">
        <v>100</v>
      </c>
      <c r="W15" s="33"/>
      <c r="Y15">
        <v>13</v>
      </c>
      <c r="Z15">
        <f t="shared" si="2"/>
        <v>13</v>
      </c>
      <c r="AA15">
        <f t="shared" si="2"/>
        <v>13</v>
      </c>
      <c r="AB15">
        <f t="shared" ref="AB15:AL15" si="15">IF($C$3&gt;=AB$1,AA15,"")</f>
        <v>13</v>
      </c>
      <c r="AC15">
        <f t="shared" si="15"/>
        <v>13</v>
      </c>
      <c r="AD15">
        <f t="shared" si="15"/>
        <v>13</v>
      </c>
      <c r="AE15">
        <f t="shared" si="15"/>
        <v>13</v>
      </c>
      <c r="AF15">
        <f t="shared" si="15"/>
        <v>13</v>
      </c>
      <c r="AG15">
        <f t="shared" si="15"/>
        <v>13</v>
      </c>
      <c r="AH15">
        <f t="shared" si="15"/>
        <v>13</v>
      </c>
      <c r="AI15">
        <f t="shared" si="15"/>
        <v>13</v>
      </c>
      <c r="AJ15">
        <f t="shared" si="15"/>
        <v>13</v>
      </c>
      <c r="AK15" t="str">
        <f t="shared" si="15"/>
        <v/>
      </c>
      <c r="AL15" t="str">
        <f t="shared" si="15"/>
        <v/>
      </c>
      <c r="AM15" t="str">
        <f t="shared" si="3"/>
        <v/>
      </c>
      <c r="AN15" t="str">
        <f t="shared" si="1"/>
        <v/>
      </c>
    </row>
    <row r="16" spans="1:40" ht="15" hidden="1" thickBot="1" x14ac:dyDescent="0.35">
      <c r="A16" s="11"/>
      <c r="B16" s="11" t="s">
        <v>0</v>
      </c>
      <c r="D16" s="34"/>
      <c r="E16" s="34"/>
      <c r="G16">
        <f>COUNTA(G4:G14)</f>
        <v>2</v>
      </c>
      <c r="H16">
        <f t="shared" ref="H16:U16" si="16">COUNTA(H4:H14)</f>
        <v>2</v>
      </c>
      <c r="I16">
        <f t="shared" si="16"/>
        <v>1</v>
      </c>
      <c r="J16">
        <f t="shared" si="16"/>
        <v>1</v>
      </c>
      <c r="K16">
        <f t="shared" si="16"/>
        <v>2</v>
      </c>
      <c r="L16">
        <f t="shared" si="16"/>
        <v>1</v>
      </c>
      <c r="M16">
        <f t="shared" si="16"/>
        <v>1</v>
      </c>
      <c r="N16">
        <f t="shared" si="16"/>
        <v>1</v>
      </c>
      <c r="O16">
        <f t="shared" si="16"/>
        <v>2</v>
      </c>
      <c r="P16">
        <f t="shared" si="16"/>
        <v>2</v>
      </c>
      <c r="Q16">
        <f t="shared" si="16"/>
        <v>1</v>
      </c>
      <c r="R16">
        <f t="shared" si="16"/>
        <v>0</v>
      </c>
      <c r="S16">
        <f t="shared" si="16"/>
        <v>0</v>
      </c>
      <c r="T16">
        <f t="shared" si="16"/>
        <v>0</v>
      </c>
      <c r="U16">
        <f t="shared" si="16"/>
        <v>0</v>
      </c>
      <c r="W16" s="33"/>
      <c r="Y16">
        <v>14</v>
      </c>
      <c r="Z16">
        <f t="shared" si="2"/>
        <v>14</v>
      </c>
      <c r="AA16">
        <f t="shared" si="2"/>
        <v>14</v>
      </c>
      <c r="AB16">
        <f t="shared" ref="AB16:AM16" si="17">IF($C$3&gt;=AB$1,AA16,"")</f>
        <v>14</v>
      </c>
      <c r="AC16">
        <f t="shared" si="17"/>
        <v>14</v>
      </c>
      <c r="AD16">
        <f t="shared" si="17"/>
        <v>14</v>
      </c>
      <c r="AE16">
        <f t="shared" si="17"/>
        <v>14</v>
      </c>
      <c r="AF16">
        <f t="shared" si="17"/>
        <v>14</v>
      </c>
      <c r="AG16">
        <f t="shared" si="17"/>
        <v>14</v>
      </c>
      <c r="AH16">
        <f t="shared" si="17"/>
        <v>14</v>
      </c>
      <c r="AI16">
        <f t="shared" si="17"/>
        <v>14</v>
      </c>
      <c r="AJ16">
        <f t="shared" si="17"/>
        <v>14</v>
      </c>
      <c r="AK16" t="str">
        <f t="shared" si="17"/>
        <v/>
      </c>
      <c r="AL16" t="str">
        <f t="shared" si="17"/>
        <v/>
      </c>
      <c r="AM16" t="str">
        <f t="shared" si="17"/>
        <v/>
      </c>
      <c r="AN16" t="str">
        <f t="shared" si="1"/>
        <v/>
      </c>
    </row>
    <row r="17" spans="1:40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W17" s="33"/>
      <c r="Y17">
        <v>15</v>
      </c>
      <c r="Z17">
        <f t="shared" si="2"/>
        <v>15</v>
      </c>
      <c r="AA17">
        <f t="shared" si="2"/>
        <v>15</v>
      </c>
      <c r="AB17">
        <f t="shared" ref="AB17:AL17" si="18">IF($C$3&gt;=AB$1,AA17,"")</f>
        <v>15</v>
      </c>
      <c r="AC17">
        <f t="shared" si="18"/>
        <v>15</v>
      </c>
      <c r="AD17">
        <f t="shared" si="18"/>
        <v>15</v>
      </c>
      <c r="AE17">
        <f t="shared" si="18"/>
        <v>15</v>
      </c>
      <c r="AF17">
        <f t="shared" si="18"/>
        <v>15</v>
      </c>
      <c r="AG17">
        <f t="shared" si="18"/>
        <v>15</v>
      </c>
      <c r="AH17">
        <f t="shared" si="18"/>
        <v>15</v>
      </c>
      <c r="AI17">
        <f t="shared" si="18"/>
        <v>15</v>
      </c>
      <c r="AJ17">
        <f t="shared" si="18"/>
        <v>15</v>
      </c>
      <c r="AK17" t="str">
        <f t="shared" si="18"/>
        <v/>
      </c>
      <c r="AL17" t="str">
        <f t="shared" si="18"/>
        <v/>
      </c>
      <c r="AM17" t="str">
        <f t="shared" si="3"/>
        <v/>
      </c>
      <c r="AN17" t="str">
        <f t="shared" si="1"/>
        <v/>
      </c>
    </row>
    <row r="18" spans="1:40" ht="15" thickBot="1" x14ac:dyDescent="0.35">
      <c r="A18" s="11"/>
      <c r="B18" s="35"/>
      <c r="C18" s="36" t="s">
        <v>16</v>
      </c>
      <c r="D18" s="37">
        <f>SUM(D4:D14)</f>
        <v>294</v>
      </c>
      <c r="E18" s="37">
        <f>SUM(E4:E14)</f>
        <v>0</v>
      </c>
      <c r="F18" s="16"/>
      <c r="G18" s="116" t="s">
        <v>43</v>
      </c>
      <c r="H18" s="117"/>
      <c r="I18" s="38">
        <f ca="1">IF(C3=0,"",COUNTIF(PlageProfils,1))</f>
        <v>6</v>
      </c>
      <c r="J18" s="118" t="s">
        <v>44</v>
      </c>
      <c r="K18" s="119"/>
      <c r="L18" s="39">
        <f ca="1">IF(C3=0,"",COUNTIF(PlageProfils,2))</f>
        <v>5</v>
      </c>
      <c r="M18" s="120" t="s">
        <v>45</v>
      </c>
      <c r="N18" s="121"/>
      <c r="O18" s="40">
        <f ca="1">IF(C3=0,"",COUNTIF(PlageProfils,3))</f>
        <v>0</v>
      </c>
      <c r="P18" s="122" t="s">
        <v>46</v>
      </c>
      <c r="Q18" s="123"/>
      <c r="R18" s="41">
        <f ca="1">IF(C3=0,"",C3-(I18+L18+O18))</f>
        <v>0</v>
      </c>
      <c r="W18" s="33"/>
      <c r="Y18">
        <v>16</v>
      </c>
      <c r="Z18">
        <f t="shared" si="2"/>
        <v>16</v>
      </c>
      <c r="AA18">
        <f t="shared" si="2"/>
        <v>16</v>
      </c>
      <c r="AB18">
        <f t="shared" ref="AB18:AM18" si="19">IF($C$3&gt;=AB$1,AA18,"")</f>
        <v>16</v>
      </c>
      <c r="AC18">
        <f t="shared" si="19"/>
        <v>16</v>
      </c>
      <c r="AD18">
        <f t="shared" si="19"/>
        <v>16</v>
      </c>
      <c r="AE18">
        <f t="shared" si="19"/>
        <v>16</v>
      </c>
      <c r="AF18">
        <f t="shared" si="19"/>
        <v>16</v>
      </c>
      <c r="AG18">
        <f t="shared" si="19"/>
        <v>16</v>
      </c>
      <c r="AH18">
        <f t="shared" si="19"/>
        <v>16</v>
      </c>
      <c r="AI18">
        <f t="shared" si="19"/>
        <v>16</v>
      </c>
      <c r="AJ18">
        <f t="shared" si="19"/>
        <v>16</v>
      </c>
      <c r="AK18" t="str">
        <f t="shared" si="19"/>
        <v/>
      </c>
      <c r="AL18" t="str">
        <f t="shared" si="19"/>
        <v/>
      </c>
      <c r="AM18" t="str">
        <f t="shared" si="19"/>
        <v/>
      </c>
      <c r="AN18" t="str">
        <f t="shared" si="1"/>
        <v/>
      </c>
    </row>
    <row r="19" spans="1:40" ht="15" thickBot="1" x14ac:dyDescent="0.35">
      <c r="A19" s="11"/>
      <c r="W19" s="33"/>
      <c r="Y19">
        <v>17</v>
      </c>
      <c r="Z19">
        <f t="shared" si="2"/>
        <v>17</v>
      </c>
      <c r="AA19">
        <f t="shared" si="2"/>
        <v>17</v>
      </c>
      <c r="AB19">
        <f t="shared" ref="AB19:AL19" si="20">IF($C$3&gt;=AB$1,AA19,"")</f>
        <v>17</v>
      </c>
      <c r="AC19">
        <f t="shared" si="20"/>
        <v>17</v>
      </c>
      <c r="AD19">
        <f t="shared" si="20"/>
        <v>17</v>
      </c>
      <c r="AE19">
        <f t="shared" si="20"/>
        <v>17</v>
      </c>
      <c r="AF19">
        <f t="shared" si="20"/>
        <v>17</v>
      </c>
      <c r="AG19">
        <f t="shared" si="20"/>
        <v>17</v>
      </c>
      <c r="AH19">
        <f t="shared" si="20"/>
        <v>17</v>
      </c>
      <c r="AI19">
        <f t="shared" si="20"/>
        <v>17</v>
      </c>
      <c r="AJ19">
        <f t="shared" si="20"/>
        <v>17</v>
      </c>
      <c r="AK19" t="str">
        <f t="shared" si="20"/>
        <v/>
      </c>
      <c r="AL19" t="str">
        <f t="shared" si="20"/>
        <v/>
      </c>
      <c r="AM19" t="str">
        <f t="shared" si="3"/>
        <v/>
      </c>
      <c r="AN19" t="str">
        <f t="shared" si="1"/>
        <v/>
      </c>
    </row>
    <row r="20" spans="1:40" x14ac:dyDescent="0.3">
      <c r="A20" s="11"/>
      <c r="B20" s="78" t="s">
        <v>29</v>
      </c>
      <c r="C20" s="79"/>
      <c r="E20" s="84" t="s">
        <v>42</v>
      </c>
      <c r="F20" s="85"/>
      <c r="G20" s="18" t="s">
        <v>88</v>
      </c>
      <c r="H20" s="18" t="s">
        <v>89</v>
      </c>
      <c r="I20" s="18" t="s">
        <v>25</v>
      </c>
      <c r="J20" s="18" t="s">
        <v>24</v>
      </c>
      <c r="K20" s="18" t="s">
        <v>90</v>
      </c>
      <c r="L20" s="18" t="s">
        <v>23</v>
      </c>
      <c r="M20" s="18" t="s">
        <v>22</v>
      </c>
      <c r="N20" s="18" t="s">
        <v>21</v>
      </c>
      <c r="O20" s="18" t="s">
        <v>91</v>
      </c>
      <c r="P20" s="18" t="s">
        <v>92</v>
      </c>
      <c r="Q20" s="18" t="s">
        <v>19</v>
      </c>
      <c r="R20" s="18"/>
      <c r="S20" s="1"/>
      <c r="T20" s="1"/>
      <c r="U20" s="1"/>
      <c r="W20" s="33"/>
      <c r="Y20">
        <v>18</v>
      </c>
      <c r="Z20">
        <f t="shared" si="2"/>
        <v>18</v>
      </c>
      <c r="AA20">
        <f t="shared" si="2"/>
        <v>18</v>
      </c>
      <c r="AB20">
        <f t="shared" ref="AB20:AM35" si="21">IF($C$3&gt;=AB$1,AA20,"")</f>
        <v>18</v>
      </c>
      <c r="AC20">
        <f t="shared" si="21"/>
        <v>18</v>
      </c>
      <c r="AD20">
        <f t="shared" si="21"/>
        <v>18</v>
      </c>
      <c r="AE20">
        <f t="shared" si="21"/>
        <v>18</v>
      </c>
      <c r="AF20">
        <f t="shared" si="21"/>
        <v>18</v>
      </c>
      <c r="AG20">
        <f t="shared" si="21"/>
        <v>18</v>
      </c>
      <c r="AH20">
        <f t="shared" si="21"/>
        <v>18</v>
      </c>
      <c r="AI20">
        <f t="shared" si="21"/>
        <v>18</v>
      </c>
      <c r="AJ20">
        <f t="shared" si="21"/>
        <v>18</v>
      </c>
      <c r="AK20" t="str">
        <f t="shared" si="21"/>
        <v/>
      </c>
      <c r="AL20" t="str">
        <f t="shared" si="21"/>
        <v/>
      </c>
      <c r="AM20" t="str">
        <f t="shared" si="21"/>
        <v/>
      </c>
      <c r="AN20" t="str">
        <f t="shared" si="1"/>
        <v/>
      </c>
    </row>
    <row r="21" spans="1:40" x14ac:dyDescent="0.3">
      <c r="A21" s="11"/>
      <c r="B21" s="80"/>
      <c r="C21" s="81"/>
      <c r="E21" s="84" t="s">
        <v>13</v>
      </c>
      <c r="F21" s="85"/>
      <c r="G21" s="42">
        <f t="shared" ref="G21:U21" si="22">IF(COUNTA(G4:G14)=0,"",SUM(G4:G14))</f>
        <v>27</v>
      </c>
      <c r="H21" s="42">
        <f t="shared" si="22"/>
        <v>26</v>
      </c>
      <c r="I21" s="42">
        <f t="shared" si="22"/>
        <v>23</v>
      </c>
      <c r="J21" s="42">
        <f t="shared" si="22"/>
        <v>29</v>
      </c>
      <c r="K21" s="42">
        <f t="shared" si="22"/>
        <v>27</v>
      </c>
      <c r="L21" s="42">
        <f t="shared" si="22"/>
        <v>26</v>
      </c>
      <c r="M21" s="42">
        <f t="shared" si="22"/>
        <v>24</v>
      </c>
      <c r="N21" s="42">
        <f t="shared" si="22"/>
        <v>27</v>
      </c>
      <c r="O21" s="42">
        <f t="shared" si="22"/>
        <v>28</v>
      </c>
      <c r="P21" s="42">
        <f t="shared" si="22"/>
        <v>28</v>
      </c>
      <c r="Q21" s="42">
        <f t="shared" si="22"/>
        <v>29</v>
      </c>
      <c r="R21" s="42" t="str">
        <f t="shared" si="22"/>
        <v/>
      </c>
      <c r="S21" s="43" t="str">
        <f t="shared" si="22"/>
        <v/>
      </c>
      <c r="T21" s="43" t="str">
        <f t="shared" si="22"/>
        <v/>
      </c>
      <c r="U21" s="43" t="str">
        <f t="shared" si="22"/>
        <v/>
      </c>
      <c r="W21" s="33"/>
      <c r="Y21">
        <v>19</v>
      </c>
      <c r="Z21">
        <f t="shared" si="2"/>
        <v>19</v>
      </c>
      <c r="AA21">
        <f t="shared" si="2"/>
        <v>19</v>
      </c>
      <c r="AB21">
        <f t="shared" ref="AB21:AL21" si="23">IF($C$3&gt;=AB$1,AA21,"")</f>
        <v>19</v>
      </c>
      <c r="AC21">
        <f t="shared" si="23"/>
        <v>19</v>
      </c>
      <c r="AD21">
        <f t="shared" si="23"/>
        <v>19</v>
      </c>
      <c r="AE21">
        <f t="shared" si="23"/>
        <v>19</v>
      </c>
      <c r="AF21">
        <f t="shared" si="23"/>
        <v>19</v>
      </c>
      <c r="AG21">
        <f t="shared" si="23"/>
        <v>19</v>
      </c>
      <c r="AH21">
        <f t="shared" si="23"/>
        <v>19</v>
      </c>
      <c r="AI21">
        <f t="shared" si="23"/>
        <v>19</v>
      </c>
      <c r="AJ21">
        <f t="shared" si="23"/>
        <v>19</v>
      </c>
      <c r="AK21" t="str">
        <f t="shared" si="23"/>
        <v/>
      </c>
      <c r="AL21" t="str">
        <f t="shared" si="23"/>
        <v/>
      </c>
      <c r="AM21" t="str">
        <f t="shared" si="21"/>
        <v/>
      </c>
      <c r="AN21" t="str">
        <f t="shared" si="1"/>
        <v/>
      </c>
    </row>
    <row r="22" spans="1:40" ht="4.5" customHeight="1" thickBot="1" x14ac:dyDescent="0.35">
      <c r="A22" s="11"/>
      <c r="B22" s="80"/>
      <c r="C22" s="81"/>
      <c r="W22" s="33"/>
      <c r="Y22">
        <v>20</v>
      </c>
      <c r="Z22">
        <f t="shared" si="2"/>
        <v>20</v>
      </c>
      <c r="AA22">
        <f t="shared" si="2"/>
        <v>20</v>
      </c>
      <c r="AB22">
        <f t="shared" ref="AB22:AM22" si="24">IF($C$3&gt;=AB$1,AA22,"")</f>
        <v>20</v>
      </c>
      <c r="AC22">
        <f t="shared" si="24"/>
        <v>20</v>
      </c>
      <c r="AD22">
        <f t="shared" si="24"/>
        <v>20</v>
      </c>
      <c r="AE22">
        <f t="shared" si="24"/>
        <v>20</v>
      </c>
      <c r="AF22">
        <f t="shared" si="24"/>
        <v>20</v>
      </c>
      <c r="AG22">
        <f t="shared" si="24"/>
        <v>20</v>
      </c>
      <c r="AH22">
        <f t="shared" si="24"/>
        <v>20</v>
      </c>
      <c r="AI22">
        <f t="shared" si="24"/>
        <v>20</v>
      </c>
      <c r="AJ22">
        <f t="shared" si="24"/>
        <v>20</v>
      </c>
      <c r="AK22" t="str">
        <f t="shared" si="24"/>
        <v/>
      </c>
      <c r="AL22" t="str">
        <f t="shared" si="24"/>
        <v/>
      </c>
      <c r="AM22" t="str">
        <f t="shared" si="24"/>
        <v/>
      </c>
      <c r="AN22" t="str">
        <f t="shared" si="1"/>
        <v/>
      </c>
    </row>
    <row r="23" spans="1:40" ht="15.75" customHeight="1" thickBot="1" x14ac:dyDescent="0.35">
      <c r="A23" s="11"/>
      <c r="B23" s="82"/>
      <c r="C23" s="83"/>
      <c r="E23" s="10" t="s">
        <v>14</v>
      </c>
      <c r="F23" s="44"/>
      <c r="G23" s="45">
        <f>SUM(G4:U14)</f>
        <v>294</v>
      </c>
      <c r="J23" s="86" t="s">
        <v>31</v>
      </c>
      <c r="K23" s="87"/>
      <c r="L23" s="87"/>
      <c r="M23" s="87"/>
      <c r="N23" s="87"/>
      <c r="O23" s="88"/>
      <c r="P23" s="89" t="s">
        <v>30</v>
      </c>
      <c r="Q23" s="90"/>
      <c r="R23" s="90"/>
      <c r="S23" s="90"/>
      <c r="T23" s="90"/>
      <c r="U23" s="91"/>
      <c r="W23" s="33"/>
      <c r="Y23">
        <v>21</v>
      </c>
      <c r="Z23">
        <f t="shared" si="2"/>
        <v>21</v>
      </c>
      <c r="AA23">
        <f t="shared" si="2"/>
        <v>21</v>
      </c>
      <c r="AB23">
        <f t="shared" ref="AB23:AL23" si="25">IF($C$3&gt;=AB$1,AA23,"")</f>
        <v>21</v>
      </c>
      <c r="AC23">
        <f t="shared" si="25"/>
        <v>21</v>
      </c>
      <c r="AD23">
        <f t="shared" si="25"/>
        <v>21</v>
      </c>
      <c r="AE23">
        <f t="shared" si="25"/>
        <v>21</v>
      </c>
      <c r="AF23">
        <f t="shared" si="25"/>
        <v>21</v>
      </c>
      <c r="AG23">
        <f t="shared" si="25"/>
        <v>21</v>
      </c>
      <c r="AH23">
        <f t="shared" si="25"/>
        <v>21</v>
      </c>
      <c r="AI23">
        <f t="shared" si="25"/>
        <v>21</v>
      </c>
      <c r="AJ23">
        <f t="shared" si="25"/>
        <v>21</v>
      </c>
      <c r="AK23" t="str">
        <f t="shared" si="25"/>
        <v/>
      </c>
      <c r="AL23" t="str">
        <f t="shared" si="25"/>
        <v/>
      </c>
      <c r="AM23" t="str">
        <f t="shared" si="21"/>
        <v/>
      </c>
      <c r="AN23" t="str">
        <f t="shared" si="1"/>
        <v/>
      </c>
    </row>
    <row r="24" spans="1:40" ht="15" thickBot="1" x14ac:dyDescent="0.35">
      <c r="A24" s="11"/>
      <c r="E24" s="11" t="s">
        <v>28</v>
      </c>
      <c r="F24" s="46"/>
      <c r="G24" s="47">
        <f>IF(G23=0,"",AVEDEV(G21:Q21))</f>
        <v>1.4380165289256199</v>
      </c>
      <c r="J24" s="92" t="s">
        <v>93</v>
      </c>
      <c r="K24" s="93"/>
      <c r="L24" s="93"/>
      <c r="M24" s="93"/>
      <c r="N24" s="93"/>
      <c r="O24" s="94"/>
      <c r="P24" s="99" t="s">
        <v>94</v>
      </c>
      <c r="Q24" s="100"/>
      <c r="R24" s="100"/>
      <c r="S24" s="100"/>
      <c r="T24" s="100"/>
      <c r="U24" s="101"/>
      <c r="W24" s="33"/>
      <c r="Y24">
        <v>22</v>
      </c>
      <c r="Z24">
        <f t="shared" si="2"/>
        <v>22</v>
      </c>
      <c r="AA24">
        <f t="shared" si="2"/>
        <v>22</v>
      </c>
      <c r="AB24">
        <f t="shared" ref="AB24:AM24" si="26">IF($C$3&gt;=AB$1,AA24,"")</f>
        <v>22</v>
      </c>
      <c r="AC24">
        <f t="shared" si="26"/>
        <v>22</v>
      </c>
      <c r="AD24">
        <f t="shared" si="26"/>
        <v>22</v>
      </c>
      <c r="AE24">
        <f t="shared" si="26"/>
        <v>22</v>
      </c>
      <c r="AF24">
        <f t="shared" si="26"/>
        <v>22</v>
      </c>
      <c r="AG24">
        <f t="shared" si="26"/>
        <v>22</v>
      </c>
      <c r="AH24">
        <f t="shared" si="26"/>
        <v>22</v>
      </c>
      <c r="AI24">
        <f t="shared" si="26"/>
        <v>22</v>
      </c>
      <c r="AJ24">
        <f t="shared" si="26"/>
        <v>22</v>
      </c>
      <c r="AK24" t="str">
        <f t="shared" si="26"/>
        <v/>
      </c>
      <c r="AL24" t="str">
        <f t="shared" si="26"/>
        <v/>
      </c>
      <c r="AM24" t="str">
        <f t="shared" si="26"/>
        <v/>
      </c>
      <c r="AN24" t="str">
        <f t="shared" si="1"/>
        <v/>
      </c>
    </row>
    <row r="25" spans="1:40" ht="29.4" thickBot="1" x14ac:dyDescent="0.35">
      <c r="A25" s="11"/>
      <c r="B25" s="48" t="s">
        <v>18</v>
      </c>
      <c r="C25" s="49">
        <f>D18/C3</f>
        <v>26.727272727272727</v>
      </c>
      <c r="D25" s="50" t="s">
        <v>32</v>
      </c>
      <c r="E25" s="51">
        <f>IF(G23=0,"",AVERAGE(G21:Q21))</f>
        <v>26.727272727272727</v>
      </c>
      <c r="J25" s="95"/>
      <c r="K25" s="93"/>
      <c r="L25" s="93"/>
      <c r="M25" s="93"/>
      <c r="N25" s="93"/>
      <c r="O25" s="94"/>
      <c r="P25" s="99"/>
      <c r="Q25" s="100"/>
      <c r="R25" s="100"/>
      <c r="S25" s="100"/>
      <c r="T25" s="100"/>
      <c r="U25" s="101"/>
      <c r="W25" s="33"/>
      <c r="Y25">
        <v>23</v>
      </c>
      <c r="Z25">
        <f t="shared" si="2"/>
        <v>23</v>
      </c>
      <c r="AA25">
        <f t="shared" si="2"/>
        <v>23</v>
      </c>
      <c r="AB25">
        <f t="shared" ref="AB25:AL25" si="27">IF($C$3&gt;=AB$1,AA25,"")</f>
        <v>23</v>
      </c>
      <c r="AC25">
        <f t="shared" si="27"/>
        <v>23</v>
      </c>
      <c r="AD25">
        <f t="shared" si="27"/>
        <v>23</v>
      </c>
      <c r="AE25">
        <f t="shared" si="27"/>
        <v>23</v>
      </c>
      <c r="AF25">
        <f t="shared" si="27"/>
        <v>23</v>
      </c>
      <c r="AG25">
        <f t="shared" si="27"/>
        <v>23</v>
      </c>
      <c r="AH25">
        <f t="shared" si="27"/>
        <v>23</v>
      </c>
      <c r="AI25">
        <f t="shared" si="27"/>
        <v>23</v>
      </c>
      <c r="AJ25">
        <f t="shared" si="27"/>
        <v>23</v>
      </c>
      <c r="AK25" t="str">
        <f t="shared" si="27"/>
        <v/>
      </c>
      <c r="AL25" t="str">
        <f t="shared" si="27"/>
        <v/>
      </c>
      <c r="AM25" t="str">
        <f t="shared" si="21"/>
        <v/>
      </c>
      <c r="AN25" t="str">
        <f t="shared" si="1"/>
        <v/>
      </c>
    </row>
    <row r="26" spans="1:40" ht="24" x14ac:dyDescent="0.3">
      <c r="A26" s="11"/>
      <c r="B26" s="52" t="s">
        <v>37</v>
      </c>
      <c r="C26" s="53">
        <f ca="1">IF(SUM(moyloc1)=0,"",AVERAGE(moyloc1))</f>
        <v>26.4</v>
      </c>
      <c r="D26" s="52" t="s">
        <v>38</v>
      </c>
      <c r="E26" s="53">
        <f ca="1">IF(SUM(moyloc2)=0,"",AVERAGE(moyloc2))</f>
        <v>27</v>
      </c>
      <c r="G26" s="52" t="s">
        <v>39</v>
      </c>
      <c r="H26" s="53">
        <f ca="1">IF(SUM(moyloc3)=0,"",AVERAGE(moyloc3))</f>
        <v>28.333333333333332</v>
      </c>
      <c r="J26" s="95"/>
      <c r="K26" s="93"/>
      <c r="L26" s="93"/>
      <c r="M26" s="93"/>
      <c r="N26" s="93"/>
      <c r="O26" s="94"/>
      <c r="P26" s="99"/>
      <c r="Q26" s="100"/>
      <c r="R26" s="100"/>
      <c r="S26" s="100"/>
      <c r="T26" s="100"/>
      <c r="U26" s="101"/>
      <c r="W26" s="33"/>
      <c r="Y26">
        <v>24</v>
      </c>
      <c r="Z26">
        <f t="shared" si="2"/>
        <v>24</v>
      </c>
      <c r="AA26">
        <f t="shared" si="2"/>
        <v>24</v>
      </c>
      <c r="AB26">
        <f t="shared" ref="AB26:AM26" si="28">IF($C$3&gt;=AB$1,AA26,"")</f>
        <v>24</v>
      </c>
      <c r="AC26">
        <f t="shared" si="28"/>
        <v>24</v>
      </c>
      <c r="AD26">
        <f t="shared" si="28"/>
        <v>24</v>
      </c>
      <c r="AE26">
        <f t="shared" si="28"/>
        <v>24</v>
      </c>
      <c r="AF26">
        <f t="shared" si="28"/>
        <v>24</v>
      </c>
      <c r="AG26">
        <f t="shared" si="28"/>
        <v>24</v>
      </c>
      <c r="AH26">
        <f t="shared" si="28"/>
        <v>24</v>
      </c>
      <c r="AI26">
        <f t="shared" si="28"/>
        <v>24</v>
      </c>
      <c r="AJ26">
        <f t="shared" si="28"/>
        <v>24</v>
      </c>
      <c r="AK26" t="str">
        <f t="shared" si="28"/>
        <v/>
      </c>
      <c r="AL26" t="str">
        <f t="shared" si="28"/>
        <v/>
      </c>
      <c r="AM26" t="str">
        <f t="shared" si="28"/>
        <v/>
      </c>
      <c r="AN26" t="str">
        <f t="shared" si="1"/>
        <v/>
      </c>
    </row>
    <row r="27" spans="1:40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95"/>
      <c r="K27" s="93"/>
      <c r="L27" s="93"/>
      <c r="M27" s="93"/>
      <c r="N27" s="93"/>
      <c r="O27" s="94"/>
      <c r="P27" s="99"/>
      <c r="Q27" s="100"/>
      <c r="R27" s="100"/>
      <c r="S27" s="100"/>
      <c r="T27" s="100"/>
      <c r="U27" s="101"/>
      <c r="W27" s="33"/>
      <c r="Y27">
        <v>25</v>
      </c>
      <c r="Z27">
        <f t="shared" si="2"/>
        <v>25</v>
      </c>
      <c r="AA27">
        <f t="shared" si="2"/>
        <v>25</v>
      </c>
      <c r="AB27">
        <f t="shared" ref="AB27:AL27" si="29">IF($C$3&gt;=AB$1,AA27,"")</f>
        <v>25</v>
      </c>
      <c r="AC27">
        <f t="shared" si="29"/>
        <v>25</v>
      </c>
      <c r="AD27">
        <f t="shared" si="29"/>
        <v>25</v>
      </c>
      <c r="AE27">
        <f t="shared" si="29"/>
        <v>25</v>
      </c>
      <c r="AF27">
        <f t="shared" si="29"/>
        <v>25</v>
      </c>
      <c r="AG27">
        <f t="shared" si="29"/>
        <v>25</v>
      </c>
      <c r="AH27">
        <f t="shared" si="29"/>
        <v>25</v>
      </c>
      <c r="AI27">
        <f t="shared" si="29"/>
        <v>25</v>
      </c>
      <c r="AJ27">
        <f t="shared" si="29"/>
        <v>25</v>
      </c>
      <c r="AK27" t="str">
        <f t="shared" si="29"/>
        <v/>
      </c>
      <c r="AL27" t="str">
        <f t="shared" si="29"/>
        <v/>
      </c>
      <c r="AM27" t="str">
        <f t="shared" si="21"/>
        <v/>
      </c>
      <c r="AN27" t="str">
        <f t="shared" si="1"/>
        <v/>
      </c>
    </row>
    <row r="28" spans="1:40" x14ac:dyDescent="0.3">
      <c r="A28" s="11"/>
      <c r="B28" s="109">
        <v>1</v>
      </c>
      <c r="C28" s="110"/>
      <c r="D28" s="109">
        <v>6</v>
      </c>
      <c r="E28" s="110"/>
      <c r="F28" s="54"/>
      <c r="G28" s="109">
        <v>9</v>
      </c>
      <c r="H28" s="110"/>
      <c r="J28" s="95"/>
      <c r="K28" s="93"/>
      <c r="L28" s="93"/>
      <c r="M28" s="93"/>
      <c r="N28" s="93"/>
      <c r="O28" s="94"/>
      <c r="P28" s="99"/>
      <c r="Q28" s="100"/>
      <c r="R28" s="100"/>
      <c r="S28" s="100"/>
      <c r="T28" s="100"/>
      <c r="U28" s="101"/>
      <c r="W28" s="33"/>
      <c r="Y28">
        <v>26</v>
      </c>
      <c r="Z28">
        <f t="shared" si="2"/>
        <v>26</v>
      </c>
      <c r="AA28">
        <f t="shared" si="2"/>
        <v>26</v>
      </c>
      <c r="AB28">
        <f t="shared" ref="AB28:AM28" si="30">IF($C$3&gt;=AB$1,AA28,"")</f>
        <v>26</v>
      </c>
      <c r="AC28">
        <f t="shared" si="30"/>
        <v>26</v>
      </c>
      <c r="AD28">
        <f t="shared" si="30"/>
        <v>26</v>
      </c>
      <c r="AE28">
        <f t="shared" si="30"/>
        <v>26</v>
      </c>
      <c r="AF28">
        <f t="shared" si="30"/>
        <v>26</v>
      </c>
      <c r="AG28">
        <f t="shared" si="30"/>
        <v>26</v>
      </c>
      <c r="AH28">
        <f t="shared" si="30"/>
        <v>26</v>
      </c>
      <c r="AI28">
        <f t="shared" si="30"/>
        <v>26</v>
      </c>
      <c r="AJ28">
        <f t="shared" si="30"/>
        <v>26</v>
      </c>
      <c r="AK28" t="str">
        <f t="shared" si="30"/>
        <v/>
      </c>
      <c r="AL28" t="str">
        <f t="shared" si="30"/>
        <v/>
      </c>
      <c r="AM28" t="str">
        <f t="shared" si="30"/>
        <v/>
      </c>
      <c r="AN28" t="str">
        <f t="shared" si="1"/>
        <v/>
      </c>
    </row>
    <row r="29" spans="1:40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95"/>
      <c r="K29" s="93"/>
      <c r="L29" s="93"/>
      <c r="M29" s="93"/>
      <c r="N29" s="93"/>
      <c r="O29" s="94"/>
      <c r="P29" s="99"/>
      <c r="Q29" s="100"/>
      <c r="R29" s="100"/>
      <c r="S29" s="100"/>
      <c r="T29" s="100"/>
      <c r="U29" s="101"/>
      <c r="W29" s="33"/>
      <c r="Y29">
        <v>27</v>
      </c>
      <c r="Z29">
        <f t="shared" si="2"/>
        <v>27</v>
      </c>
      <c r="AA29">
        <f t="shared" si="2"/>
        <v>27</v>
      </c>
      <c r="AB29">
        <f t="shared" ref="AB29:AL29" si="31">IF($C$3&gt;=AB$1,AA29,"")</f>
        <v>27</v>
      </c>
      <c r="AC29">
        <f t="shared" si="31"/>
        <v>27</v>
      </c>
      <c r="AD29">
        <f t="shared" si="31"/>
        <v>27</v>
      </c>
      <c r="AE29">
        <f t="shared" si="31"/>
        <v>27</v>
      </c>
      <c r="AF29">
        <f t="shared" si="31"/>
        <v>27</v>
      </c>
      <c r="AG29">
        <f t="shared" si="31"/>
        <v>27</v>
      </c>
      <c r="AH29">
        <f t="shared" si="31"/>
        <v>27</v>
      </c>
      <c r="AI29">
        <f t="shared" si="31"/>
        <v>27</v>
      </c>
      <c r="AJ29">
        <f t="shared" si="31"/>
        <v>27</v>
      </c>
      <c r="AK29" t="str">
        <f t="shared" si="31"/>
        <v/>
      </c>
      <c r="AL29" t="str">
        <f t="shared" si="31"/>
        <v/>
      </c>
      <c r="AM29" t="str">
        <f t="shared" si="21"/>
        <v/>
      </c>
      <c r="AN29" t="str">
        <f t="shared" si="1"/>
        <v/>
      </c>
    </row>
    <row r="30" spans="1:40" ht="15" thickBot="1" x14ac:dyDescent="0.35">
      <c r="A30" s="11"/>
      <c r="B30" s="107">
        <v>5</v>
      </c>
      <c r="C30" s="108"/>
      <c r="D30" s="107">
        <v>12</v>
      </c>
      <c r="E30" s="108"/>
      <c r="F30" s="54"/>
      <c r="G30" s="107">
        <v>12</v>
      </c>
      <c r="H30" s="108"/>
      <c r="J30" s="96"/>
      <c r="K30" s="97"/>
      <c r="L30" s="97"/>
      <c r="M30" s="97"/>
      <c r="N30" s="97"/>
      <c r="O30" s="98"/>
      <c r="P30" s="102"/>
      <c r="Q30" s="103"/>
      <c r="R30" s="103"/>
      <c r="S30" s="103"/>
      <c r="T30" s="103"/>
      <c r="U30" s="104"/>
      <c r="W30" s="33"/>
      <c r="Y30">
        <v>28</v>
      </c>
      <c r="Z30">
        <f t="shared" si="2"/>
        <v>28</v>
      </c>
      <c r="AA30">
        <f t="shared" si="2"/>
        <v>28</v>
      </c>
      <c r="AB30">
        <f t="shared" ref="AB30:AM30" si="32">IF($C$3&gt;=AB$1,AA30,"")</f>
        <v>28</v>
      </c>
      <c r="AC30">
        <f t="shared" si="32"/>
        <v>28</v>
      </c>
      <c r="AD30">
        <f t="shared" si="32"/>
        <v>28</v>
      </c>
      <c r="AE30">
        <f t="shared" si="32"/>
        <v>28</v>
      </c>
      <c r="AF30">
        <f t="shared" si="32"/>
        <v>28</v>
      </c>
      <c r="AG30">
        <f t="shared" si="32"/>
        <v>28</v>
      </c>
      <c r="AH30">
        <f t="shared" si="32"/>
        <v>28</v>
      </c>
      <c r="AI30">
        <f t="shared" si="32"/>
        <v>28</v>
      </c>
      <c r="AJ30">
        <f t="shared" si="32"/>
        <v>28</v>
      </c>
      <c r="AK30" t="str">
        <f t="shared" si="32"/>
        <v/>
      </c>
      <c r="AL30" t="str">
        <f t="shared" si="32"/>
        <v/>
      </c>
      <c r="AM30" t="str">
        <f t="shared" si="32"/>
        <v/>
      </c>
      <c r="AN30" t="str">
        <f t="shared" si="1"/>
        <v/>
      </c>
    </row>
    <row r="31" spans="1:40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56"/>
      <c r="Y31">
        <v>29</v>
      </c>
      <c r="Z31">
        <f t="shared" si="2"/>
        <v>29</v>
      </c>
      <c r="AA31">
        <f t="shared" si="2"/>
        <v>29</v>
      </c>
      <c r="AB31">
        <f t="shared" ref="AB31:AL31" si="33">IF($C$3&gt;=AB$1,AA31,"")</f>
        <v>29</v>
      </c>
      <c r="AC31">
        <f t="shared" si="33"/>
        <v>29</v>
      </c>
      <c r="AD31">
        <f t="shared" si="33"/>
        <v>29</v>
      </c>
      <c r="AE31">
        <f t="shared" si="33"/>
        <v>29</v>
      </c>
      <c r="AF31">
        <f t="shared" si="33"/>
        <v>29</v>
      </c>
      <c r="AG31">
        <f t="shared" si="33"/>
        <v>29</v>
      </c>
      <c r="AH31">
        <f t="shared" si="33"/>
        <v>29</v>
      </c>
      <c r="AI31">
        <f t="shared" si="33"/>
        <v>29</v>
      </c>
      <c r="AJ31">
        <f t="shared" si="33"/>
        <v>29</v>
      </c>
      <c r="AK31" t="str">
        <f t="shared" si="33"/>
        <v/>
      </c>
      <c r="AL31" t="str">
        <f t="shared" si="33"/>
        <v/>
      </c>
      <c r="AM31" t="str">
        <f t="shared" si="21"/>
        <v/>
      </c>
      <c r="AN31" t="str">
        <f t="shared" si="1"/>
        <v/>
      </c>
    </row>
    <row r="32" spans="1:40" x14ac:dyDescent="0.3">
      <c r="Y32">
        <v>30</v>
      </c>
      <c r="Z32">
        <f t="shared" si="2"/>
        <v>30</v>
      </c>
      <c r="AA32">
        <f t="shared" si="2"/>
        <v>30</v>
      </c>
      <c r="AB32">
        <f t="shared" ref="AB32:AM32" si="34">IF($C$3&gt;=AB$1,AA32,"")</f>
        <v>30</v>
      </c>
      <c r="AC32">
        <f t="shared" si="34"/>
        <v>30</v>
      </c>
      <c r="AD32">
        <f t="shared" si="34"/>
        <v>30</v>
      </c>
      <c r="AE32">
        <f t="shared" si="34"/>
        <v>30</v>
      </c>
      <c r="AF32">
        <f t="shared" si="34"/>
        <v>30</v>
      </c>
      <c r="AG32">
        <f t="shared" si="34"/>
        <v>30</v>
      </c>
      <c r="AH32">
        <f t="shared" si="34"/>
        <v>30</v>
      </c>
      <c r="AI32">
        <f t="shared" si="34"/>
        <v>30</v>
      </c>
      <c r="AJ32">
        <f t="shared" si="34"/>
        <v>30</v>
      </c>
      <c r="AK32" t="str">
        <f t="shared" si="34"/>
        <v/>
      </c>
      <c r="AL32" t="str">
        <f t="shared" si="34"/>
        <v/>
      </c>
      <c r="AM32" t="str">
        <f t="shared" si="34"/>
        <v/>
      </c>
      <c r="AN32" t="str">
        <f t="shared" si="1"/>
        <v/>
      </c>
    </row>
    <row r="33" spans="25:40" x14ac:dyDescent="0.3">
      <c r="Y33">
        <v>31</v>
      </c>
      <c r="Z33">
        <f t="shared" si="2"/>
        <v>31</v>
      </c>
      <c r="AA33">
        <f t="shared" si="2"/>
        <v>31</v>
      </c>
      <c r="AB33">
        <f t="shared" ref="AB33:AL33" si="35">IF($C$3&gt;=AB$1,AA33,"")</f>
        <v>31</v>
      </c>
      <c r="AC33">
        <f t="shared" si="35"/>
        <v>31</v>
      </c>
      <c r="AD33">
        <f t="shared" si="35"/>
        <v>31</v>
      </c>
      <c r="AE33">
        <f t="shared" si="35"/>
        <v>31</v>
      </c>
      <c r="AF33">
        <f t="shared" si="35"/>
        <v>31</v>
      </c>
      <c r="AG33">
        <f t="shared" si="35"/>
        <v>31</v>
      </c>
      <c r="AH33">
        <f t="shared" si="35"/>
        <v>31</v>
      </c>
      <c r="AI33">
        <f t="shared" si="35"/>
        <v>31</v>
      </c>
      <c r="AJ33">
        <f t="shared" si="35"/>
        <v>31</v>
      </c>
      <c r="AK33" t="str">
        <f t="shared" si="35"/>
        <v/>
      </c>
      <c r="AL33" t="str">
        <f t="shared" si="35"/>
        <v/>
      </c>
      <c r="AM33" t="str">
        <f t="shared" si="21"/>
        <v/>
      </c>
      <c r="AN33" t="str">
        <f t="shared" si="1"/>
        <v/>
      </c>
    </row>
    <row r="34" spans="25:40" x14ac:dyDescent="0.3">
      <c r="Y34">
        <v>32</v>
      </c>
      <c r="Z34">
        <f t="shared" si="2"/>
        <v>32</v>
      </c>
      <c r="AA34">
        <f t="shared" si="2"/>
        <v>32</v>
      </c>
      <c r="AB34">
        <f t="shared" ref="AB34:AM34" si="36">IF($C$3&gt;=AB$1,AA34,"")</f>
        <v>32</v>
      </c>
      <c r="AC34">
        <f t="shared" si="36"/>
        <v>32</v>
      </c>
      <c r="AD34">
        <f t="shared" si="36"/>
        <v>32</v>
      </c>
      <c r="AE34">
        <f t="shared" si="36"/>
        <v>32</v>
      </c>
      <c r="AF34">
        <f t="shared" si="36"/>
        <v>32</v>
      </c>
      <c r="AG34">
        <f t="shared" si="36"/>
        <v>32</v>
      </c>
      <c r="AH34">
        <f t="shared" si="36"/>
        <v>32</v>
      </c>
      <c r="AI34">
        <f t="shared" si="36"/>
        <v>32</v>
      </c>
      <c r="AJ34">
        <f t="shared" si="36"/>
        <v>32</v>
      </c>
      <c r="AK34" t="str">
        <f t="shared" si="36"/>
        <v/>
      </c>
      <c r="AL34" t="str">
        <f t="shared" si="36"/>
        <v/>
      </c>
      <c r="AM34" t="str">
        <f t="shared" si="36"/>
        <v/>
      </c>
      <c r="AN34" t="str">
        <f t="shared" si="1"/>
        <v/>
      </c>
    </row>
    <row r="35" spans="25:40" x14ac:dyDescent="0.3">
      <c r="Y35">
        <v>33</v>
      </c>
      <c r="Z35">
        <f t="shared" si="2"/>
        <v>33</v>
      </c>
      <c r="AA35">
        <f t="shared" si="2"/>
        <v>33</v>
      </c>
      <c r="AB35">
        <f t="shared" ref="AB35:AL35" si="37">IF($C$3&gt;=AB$1,AA35,"")</f>
        <v>33</v>
      </c>
      <c r="AC35">
        <f t="shared" si="37"/>
        <v>33</v>
      </c>
      <c r="AD35">
        <f t="shared" si="37"/>
        <v>33</v>
      </c>
      <c r="AE35">
        <f t="shared" si="37"/>
        <v>33</v>
      </c>
      <c r="AF35">
        <f t="shared" si="37"/>
        <v>33</v>
      </c>
      <c r="AG35">
        <f t="shared" si="37"/>
        <v>33</v>
      </c>
      <c r="AH35">
        <f t="shared" si="37"/>
        <v>33</v>
      </c>
      <c r="AI35">
        <f t="shared" si="37"/>
        <v>33</v>
      </c>
      <c r="AJ35">
        <f t="shared" si="37"/>
        <v>33</v>
      </c>
      <c r="AK35" t="str">
        <f t="shared" si="37"/>
        <v/>
      </c>
      <c r="AL35" t="str">
        <f t="shared" si="37"/>
        <v/>
      </c>
      <c r="AM35" t="str">
        <f t="shared" si="21"/>
        <v/>
      </c>
      <c r="AN35" t="str">
        <f t="shared" si="1"/>
        <v/>
      </c>
    </row>
    <row r="36" spans="25:40" x14ac:dyDescent="0.3">
      <c r="Y36">
        <v>34</v>
      </c>
      <c r="Z36">
        <f t="shared" si="2"/>
        <v>34</v>
      </c>
      <c r="AA36">
        <f t="shared" si="2"/>
        <v>34</v>
      </c>
      <c r="AB36">
        <f t="shared" ref="AB36:AM51" si="38">IF($C$3&gt;=AB$1,AA36,"")</f>
        <v>34</v>
      </c>
      <c r="AC36">
        <f t="shared" si="38"/>
        <v>34</v>
      </c>
      <c r="AD36">
        <f t="shared" si="38"/>
        <v>34</v>
      </c>
      <c r="AE36">
        <f t="shared" si="38"/>
        <v>34</v>
      </c>
      <c r="AF36">
        <f t="shared" si="38"/>
        <v>34</v>
      </c>
      <c r="AG36">
        <f t="shared" si="38"/>
        <v>34</v>
      </c>
      <c r="AH36">
        <f t="shared" si="38"/>
        <v>34</v>
      </c>
      <c r="AI36">
        <f t="shared" si="38"/>
        <v>34</v>
      </c>
      <c r="AJ36">
        <f t="shared" si="38"/>
        <v>34</v>
      </c>
      <c r="AK36" t="str">
        <f t="shared" si="38"/>
        <v/>
      </c>
      <c r="AL36" t="str">
        <f t="shared" si="38"/>
        <v/>
      </c>
      <c r="AM36" t="str">
        <f t="shared" si="38"/>
        <v/>
      </c>
      <c r="AN36" t="str">
        <f t="shared" si="1"/>
        <v/>
      </c>
    </row>
    <row r="37" spans="25:40" x14ac:dyDescent="0.3">
      <c r="Y37">
        <v>35</v>
      </c>
      <c r="Z37">
        <f t="shared" si="2"/>
        <v>35</v>
      </c>
      <c r="AA37">
        <f t="shared" si="2"/>
        <v>35</v>
      </c>
      <c r="AB37">
        <f t="shared" ref="AB37:AL37" si="39">IF($C$3&gt;=AB$1,AA37,"")</f>
        <v>35</v>
      </c>
      <c r="AC37">
        <f t="shared" si="39"/>
        <v>35</v>
      </c>
      <c r="AD37">
        <f t="shared" si="39"/>
        <v>35</v>
      </c>
      <c r="AE37">
        <f t="shared" si="39"/>
        <v>35</v>
      </c>
      <c r="AF37">
        <f t="shared" si="39"/>
        <v>35</v>
      </c>
      <c r="AG37">
        <f t="shared" si="39"/>
        <v>35</v>
      </c>
      <c r="AH37">
        <f t="shared" si="39"/>
        <v>35</v>
      </c>
      <c r="AI37">
        <f t="shared" si="39"/>
        <v>35</v>
      </c>
      <c r="AJ37">
        <f t="shared" si="39"/>
        <v>35</v>
      </c>
      <c r="AK37" t="str">
        <f t="shared" si="39"/>
        <v/>
      </c>
      <c r="AL37" t="str">
        <f t="shared" si="39"/>
        <v/>
      </c>
      <c r="AM37" t="str">
        <f t="shared" si="38"/>
        <v/>
      </c>
      <c r="AN37" t="str">
        <f t="shared" si="1"/>
        <v/>
      </c>
    </row>
    <row r="38" spans="25:40" x14ac:dyDescent="0.3">
      <c r="Y38">
        <v>36</v>
      </c>
      <c r="Z38">
        <f t="shared" si="2"/>
        <v>36</v>
      </c>
      <c r="AA38">
        <f t="shared" si="2"/>
        <v>36</v>
      </c>
      <c r="AB38">
        <f t="shared" ref="AB38:AM38" si="40">IF($C$3&gt;=AB$1,AA38,"")</f>
        <v>36</v>
      </c>
      <c r="AC38">
        <f t="shared" si="40"/>
        <v>36</v>
      </c>
      <c r="AD38">
        <f t="shared" si="40"/>
        <v>36</v>
      </c>
      <c r="AE38">
        <f t="shared" si="40"/>
        <v>36</v>
      </c>
      <c r="AF38">
        <f t="shared" si="40"/>
        <v>36</v>
      </c>
      <c r="AG38">
        <f t="shared" si="40"/>
        <v>36</v>
      </c>
      <c r="AH38">
        <f t="shared" si="40"/>
        <v>36</v>
      </c>
      <c r="AI38">
        <f t="shared" si="40"/>
        <v>36</v>
      </c>
      <c r="AJ38">
        <f t="shared" si="40"/>
        <v>36</v>
      </c>
      <c r="AK38" t="str">
        <f t="shared" si="40"/>
        <v/>
      </c>
      <c r="AL38" t="str">
        <f t="shared" si="40"/>
        <v/>
      </c>
      <c r="AM38" t="str">
        <f t="shared" si="40"/>
        <v/>
      </c>
      <c r="AN38" t="str">
        <f t="shared" si="1"/>
        <v/>
      </c>
    </row>
    <row r="39" spans="25:40" x14ac:dyDescent="0.3">
      <c r="Y39">
        <v>37</v>
      </c>
      <c r="Z39">
        <f t="shared" si="2"/>
        <v>37</v>
      </c>
      <c r="AA39">
        <f t="shared" si="2"/>
        <v>37</v>
      </c>
      <c r="AB39">
        <f t="shared" ref="AB39:AL39" si="41">IF($C$3&gt;=AB$1,AA39,"")</f>
        <v>37</v>
      </c>
      <c r="AC39">
        <f t="shared" si="41"/>
        <v>37</v>
      </c>
      <c r="AD39">
        <f t="shared" si="41"/>
        <v>37</v>
      </c>
      <c r="AE39">
        <f t="shared" si="41"/>
        <v>37</v>
      </c>
      <c r="AF39">
        <f t="shared" si="41"/>
        <v>37</v>
      </c>
      <c r="AG39">
        <f t="shared" si="41"/>
        <v>37</v>
      </c>
      <c r="AH39">
        <f t="shared" si="41"/>
        <v>37</v>
      </c>
      <c r="AI39">
        <f t="shared" si="41"/>
        <v>37</v>
      </c>
      <c r="AJ39">
        <f t="shared" si="41"/>
        <v>37</v>
      </c>
      <c r="AK39" t="str">
        <f t="shared" si="41"/>
        <v/>
      </c>
      <c r="AL39" t="str">
        <f t="shared" si="41"/>
        <v/>
      </c>
      <c r="AM39" t="str">
        <f t="shared" si="38"/>
        <v/>
      </c>
      <c r="AN39" t="str">
        <f t="shared" si="1"/>
        <v/>
      </c>
    </row>
    <row r="40" spans="25:40" x14ac:dyDescent="0.3">
      <c r="Y40">
        <v>38</v>
      </c>
      <c r="Z40">
        <f t="shared" si="2"/>
        <v>38</v>
      </c>
      <c r="AA40">
        <f t="shared" si="2"/>
        <v>38</v>
      </c>
      <c r="AB40">
        <f t="shared" ref="AB40:AM40" si="42">IF($C$3&gt;=AB$1,AA40,"")</f>
        <v>38</v>
      </c>
      <c r="AC40">
        <f t="shared" si="42"/>
        <v>38</v>
      </c>
      <c r="AD40">
        <f t="shared" si="42"/>
        <v>38</v>
      </c>
      <c r="AE40">
        <f t="shared" si="42"/>
        <v>38</v>
      </c>
      <c r="AF40">
        <f t="shared" si="42"/>
        <v>38</v>
      </c>
      <c r="AG40">
        <f t="shared" si="42"/>
        <v>38</v>
      </c>
      <c r="AH40">
        <f t="shared" si="42"/>
        <v>38</v>
      </c>
      <c r="AI40">
        <f t="shared" si="42"/>
        <v>38</v>
      </c>
      <c r="AJ40">
        <f t="shared" si="42"/>
        <v>38</v>
      </c>
      <c r="AK40" t="str">
        <f t="shared" si="42"/>
        <v/>
      </c>
      <c r="AL40" t="str">
        <f t="shared" si="42"/>
        <v/>
      </c>
      <c r="AM40" t="str">
        <f t="shared" si="42"/>
        <v/>
      </c>
      <c r="AN40" t="str">
        <f t="shared" si="1"/>
        <v/>
      </c>
    </row>
    <row r="41" spans="25:40" x14ac:dyDescent="0.3">
      <c r="Y41">
        <v>39</v>
      </c>
      <c r="Z41">
        <f t="shared" si="2"/>
        <v>39</v>
      </c>
      <c r="AA41">
        <f t="shared" si="2"/>
        <v>39</v>
      </c>
      <c r="AB41">
        <f t="shared" ref="AB41:AL41" si="43">IF($C$3&gt;=AB$1,AA41,"")</f>
        <v>39</v>
      </c>
      <c r="AC41">
        <f t="shared" si="43"/>
        <v>39</v>
      </c>
      <c r="AD41">
        <f t="shared" si="43"/>
        <v>39</v>
      </c>
      <c r="AE41">
        <f t="shared" si="43"/>
        <v>39</v>
      </c>
      <c r="AF41">
        <f t="shared" si="43"/>
        <v>39</v>
      </c>
      <c r="AG41">
        <f t="shared" si="43"/>
        <v>39</v>
      </c>
      <c r="AH41">
        <f t="shared" si="43"/>
        <v>39</v>
      </c>
      <c r="AI41">
        <f t="shared" si="43"/>
        <v>39</v>
      </c>
      <c r="AJ41">
        <f t="shared" si="43"/>
        <v>39</v>
      </c>
      <c r="AK41" t="str">
        <f t="shared" si="43"/>
        <v/>
      </c>
      <c r="AL41" t="str">
        <f t="shared" si="43"/>
        <v/>
      </c>
      <c r="AM41" t="str">
        <f t="shared" si="38"/>
        <v/>
      </c>
      <c r="AN41" t="str">
        <f t="shared" si="1"/>
        <v/>
      </c>
    </row>
    <row r="42" spans="25:40" x14ac:dyDescent="0.3">
      <c r="Y42">
        <v>40</v>
      </c>
      <c r="Z42">
        <f t="shared" si="2"/>
        <v>40</v>
      </c>
      <c r="AA42">
        <f t="shared" si="2"/>
        <v>40</v>
      </c>
      <c r="AB42">
        <f t="shared" ref="AB42:AM42" si="44">IF($C$3&gt;=AB$1,AA42,"")</f>
        <v>40</v>
      </c>
      <c r="AC42">
        <f t="shared" si="44"/>
        <v>40</v>
      </c>
      <c r="AD42">
        <f t="shared" si="44"/>
        <v>40</v>
      </c>
      <c r="AE42">
        <f t="shared" si="44"/>
        <v>40</v>
      </c>
      <c r="AF42">
        <f t="shared" si="44"/>
        <v>40</v>
      </c>
      <c r="AG42">
        <f t="shared" si="44"/>
        <v>40</v>
      </c>
      <c r="AH42">
        <f t="shared" si="44"/>
        <v>40</v>
      </c>
      <c r="AI42">
        <f t="shared" si="44"/>
        <v>40</v>
      </c>
      <c r="AJ42">
        <f t="shared" si="44"/>
        <v>40</v>
      </c>
      <c r="AK42" t="str">
        <f t="shared" si="44"/>
        <v/>
      </c>
      <c r="AL42" t="str">
        <f t="shared" si="44"/>
        <v/>
      </c>
      <c r="AM42" t="str">
        <f t="shared" si="44"/>
        <v/>
      </c>
      <c r="AN42" t="str">
        <f t="shared" si="1"/>
        <v/>
      </c>
    </row>
    <row r="43" spans="25:40" x14ac:dyDescent="0.3">
      <c r="Y43">
        <v>41</v>
      </c>
      <c r="Z43">
        <f t="shared" si="2"/>
        <v>41</v>
      </c>
      <c r="AA43">
        <f t="shared" si="2"/>
        <v>41</v>
      </c>
      <c r="AB43">
        <f t="shared" ref="AB43:AL43" si="45">IF($C$3&gt;=AB$1,AA43,"")</f>
        <v>41</v>
      </c>
      <c r="AC43">
        <f t="shared" si="45"/>
        <v>41</v>
      </c>
      <c r="AD43">
        <f t="shared" si="45"/>
        <v>41</v>
      </c>
      <c r="AE43">
        <f t="shared" si="45"/>
        <v>41</v>
      </c>
      <c r="AF43">
        <f t="shared" si="45"/>
        <v>41</v>
      </c>
      <c r="AG43">
        <f t="shared" si="45"/>
        <v>41</v>
      </c>
      <c r="AH43">
        <f t="shared" si="45"/>
        <v>41</v>
      </c>
      <c r="AI43">
        <f t="shared" si="45"/>
        <v>41</v>
      </c>
      <c r="AJ43">
        <f t="shared" si="45"/>
        <v>41</v>
      </c>
      <c r="AK43" t="str">
        <f t="shared" si="45"/>
        <v/>
      </c>
      <c r="AL43" t="str">
        <f t="shared" si="45"/>
        <v/>
      </c>
      <c r="AM43" t="str">
        <f t="shared" si="38"/>
        <v/>
      </c>
      <c r="AN43" t="str">
        <f t="shared" si="1"/>
        <v/>
      </c>
    </row>
    <row r="44" spans="25:40" x14ac:dyDescent="0.3">
      <c r="Y44">
        <v>42</v>
      </c>
      <c r="Z44">
        <f t="shared" si="2"/>
        <v>42</v>
      </c>
      <c r="AA44">
        <f t="shared" si="2"/>
        <v>42</v>
      </c>
      <c r="AB44">
        <f t="shared" ref="AB44:AM44" si="46">IF($C$3&gt;=AB$1,AA44,"")</f>
        <v>42</v>
      </c>
      <c r="AC44">
        <f t="shared" si="46"/>
        <v>42</v>
      </c>
      <c r="AD44">
        <f t="shared" si="46"/>
        <v>42</v>
      </c>
      <c r="AE44">
        <f t="shared" si="46"/>
        <v>42</v>
      </c>
      <c r="AF44">
        <f t="shared" si="46"/>
        <v>42</v>
      </c>
      <c r="AG44">
        <f t="shared" si="46"/>
        <v>42</v>
      </c>
      <c r="AH44">
        <f t="shared" si="46"/>
        <v>42</v>
      </c>
      <c r="AI44">
        <f t="shared" si="46"/>
        <v>42</v>
      </c>
      <c r="AJ44">
        <f t="shared" si="46"/>
        <v>42</v>
      </c>
      <c r="AK44" t="str">
        <f t="shared" si="46"/>
        <v/>
      </c>
      <c r="AL44" t="str">
        <f t="shared" si="46"/>
        <v/>
      </c>
      <c r="AM44" t="str">
        <f t="shared" si="46"/>
        <v/>
      </c>
      <c r="AN44" t="str">
        <f t="shared" si="1"/>
        <v/>
      </c>
    </row>
    <row r="45" spans="25:40" x14ac:dyDescent="0.3">
      <c r="Y45">
        <v>43</v>
      </c>
      <c r="Z45">
        <f t="shared" si="2"/>
        <v>43</v>
      </c>
      <c r="AA45">
        <f t="shared" si="2"/>
        <v>43</v>
      </c>
      <c r="AB45">
        <f t="shared" ref="AB45:AL45" si="47">IF($C$3&gt;=AB$1,AA45,"")</f>
        <v>43</v>
      </c>
      <c r="AC45">
        <f t="shared" si="47"/>
        <v>43</v>
      </c>
      <c r="AD45">
        <f t="shared" si="47"/>
        <v>43</v>
      </c>
      <c r="AE45">
        <f t="shared" si="47"/>
        <v>43</v>
      </c>
      <c r="AF45">
        <f t="shared" si="47"/>
        <v>43</v>
      </c>
      <c r="AG45">
        <f t="shared" si="47"/>
        <v>43</v>
      </c>
      <c r="AH45">
        <f t="shared" si="47"/>
        <v>43</v>
      </c>
      <c r="AI45">
        <f t="shared" si="47"/>
        <v>43</v>
      </c>
      <c r="AJ45">
        <f t="shared" si="47"/>
        <v>43</v>
      </c>
      <c r="AK45" t="str">
        <f t="shared" si="47"/>
        <v/>
      </c>
      <c r="AL45" t="str">
        <f t="shared" si="47"/>
        <v/>
      </c>
      <c r="AM45" t="str">
        <f t="shared" si="38"/>
        <v/>
      </c>
      <c r="AN45" t="str">
        <f t="shared" si="1"/>
        <v/>
      </c>
    </row>
    <row r="46" spans="25:40" x14ac:dyDescent="0.3">
      <c r="Y46">
        <v>44</v>
      </c>
      <c r="Z46">
        <f t="shared" si="2"/>
        <v>44</v>
      </c>
      <c r="AA46">
        <f t="shared" si="2"/>
        <v>44</v>
      </c>
      <c r="AB46">
        <f t="shared" ref="AB46:AM46" si="48">IF($C$3&gt;=AB$1,AA46,"")</f>
        <v>44</v>
      </c>
      <c r="AC46">
        <f t="shared" si="48"/>
        <v>44</v>
      </c>
      <c r="AD46">
        <f t="shared" si="48"/>
        <v>44</v>
      </c>
      <c r="AE46">
        <f t="shared" si="48"/>
        <v>44</v>
      </c>
      <c r="AF46">
        <f t="shared" si="48"/>
        <v>44</v>
      </c>
      <c r="AG46">
        <f t="shared" si="48"/>
        <v>44</v>
      </c>
      <c r="AH46">
        <f t="shared" si="48"/>
        <v>44</v>
      </c>
      <c r="AI46">
        <f t="shared" si="48"/>
        <v>44</v>
      </c>
      <c r="AJ46">
        <f t="shared" si="48"/>
        <v>44</v>
      </c>
      <c r="AK46" t="str">
        <f t="shared" si="48"/>
        <v/>
      </c>
      <c r="AL46" t="str">
        <f t="shared" si="48"/>
        <v/>
      </c>
      <c r="AM46" t="str">
        <f t="shared" si="48"/>
        <v/>
      </c>
      <c r="AN46" t="str">
        <f t="shared" si="1"/>
        <v/>
      </c>
    </row>
    <row r="47" spans="25:40" x14ac:dyDescent="0.3">
      <c r="Y47">
        <v>45</v>
      </c>
      <c r="Z47">
        <f t="shared" si="2"/>
        <v>45</v>
      </c>
      <c r="AA47">
        <f t="shared" si="2"/>
        <v>45</v>
      </c>
      <c r="AB47">
        <f t="shared" ref="AB47:AL47" si="49">IF($C$3&gt;=AB$1,AA47,"")</f>
        <v>45</v>
      </c>
      <c r="AC47">
        <f t="shared" si="49"/>
        <v>45</v>
      </c>
      <c r="AD47">
        <f t="shared" si="49"/>
        <v>45</v>
      </c>
      <c r="AE47">
        <f t="shared" si="49"/>
        <v>45</v>
      </c>
      <c r="AF47">
        <f t="shared" si="49"/>
        <v>45</v>
      </c>
      <c r="AG47">
        <f t="shared" si="49"/>
        <v>45</v>
      </c>
      <c r="AH47">
        <f t="shared" si="49"/>
        <v>45</v>
      </c>
      <c r="AI47">
        <f t="shared" si="49"/>
        <v>45</v>
      </c>
      <c r="AJ47">
        <f t="shared" si="49"/>
        <v>45</v>
      </c>
      <c r="AK47" t="str">
        <f t="shared" si="49"/>
        <v/>
      </c>
      <c r="AL47" t="str">
        <f t="shared" si="49"/>
        <v/>
      </c>
      <c r="AM47" t="str">
        <f t="shared" si="38"/>
        <v/>
      </c>
      <c r="AN47" t="str">
        <f t="shared" si="1"/>
        <v/>
      </c>
    </row>
    <row r="48" spans="25:40" x14ac:dyDescent="0.3">
      <c r="Y48">
        <v>46</v>
      </c>
      <c r="Z48">
        <f t="shared" si="2"/>
        <v>46</v>
      </c>
      <c r="AA48">
        <f t="shared" si="2"/>
        <v>46</v>
      </c>
      <c r="AB48">
        <f t="shared" ref="AB48:AM48" si="50">IF($C$3&gt;=AB$1,AA48,"")</f>
        <v>46</v>
      </c>
      <c r="AC48">
        <f t="shared" si="50"/>
        <v>46</v>
      </c>
      <c r="AD48">
        <f t="shared" si="50"/>
        <v>46</v>
      </c>
      <c r="AE48">
        <f t="shared" si="50"/>
        <v>46</v>
      </c>
      <c r="AF48">
        <f t="shared" si="50"/>
        <v>46</v>
      </c>
      <c r="AG48">
        <f t="shared" si="50"/>
        <v>46</v>
      </c>
      <c r="AH48">
        <f t="shared" si="50"/>
        <v>46</v>
      </c>
      <c r="AI48">
        <f t="shared" si="50"/>
        <v>46</v>
      </c>
      <c r="AJ48">
        <f t="shared" si="50"/>
        <v>46</v>
      </c>
      <c r="AK48" t="str">
        <f t="shared" si="50"/>
        <v/>
      </c>
      <c r="AL48" t="str">
        <f t="shared" si="50"/>
        <v/>
      </c>
      <c r="AM48" t="str">
        <f t="shared" si="50"/>
        <v/>
      </c>
      <c r="AN48" t="str">
        <f t="shared" si="1"/>
        <v/>
      </c>
    </row>
    <row r="49" spans="25:40" x14ac:dyDescent="0.3">
      <c r="Y49">
        <v>47</v>
      </c>
      <c r="Z49">
        <f t="shared" si="2"/>
        <v>47</v>
      </c>
      <c r="AA49">
        <f t="shared" si="2"/>
        <v>47</v>
      </c>
      <c r="AB49">
        <f t="shared" ref="AB49:AL49" si="51">IF($C$3&gt;=AB$1,AA49,"")</f>
        <v>47</v>
      </c>
      <c r="AC49">
        <f t="shared" si="51"/>
        <v>47</v>
      </c>
      <c r="AD49">
        <f t="shared" si="51"/>
        <v>47</v>
      </c>
      <c r="AE49">
        <f t="shared" si="51"/>
        <v>47</v>
      </c>
      <c r="AF49">
        <f t="shared" si="51"/>
        <v>47</v>
      </c>
      <c r="AG49">
        <f t="shared" si="51"/>
        <v>47</v>
      </c>
      <c r="AH49">
        <f t="shared" si="51"/>
        <v>47</v>
      </c>
      <c r="AI49">
        <f t="shared" si="51"/>
        <v>47</v>
      </c>
      <c r="AJ49">
        <f t="shared" si="51"/>
        <v>47</v>
      </c>
      <c r="AK49" t="str">
        <f t="shared" si="51"/>
        <v/>
      </c>
      <c r="AL49" t="str">
        <f t="shared" si="51"/>
        <v/>
      </c>
      <c r="AM49" t="str">
        <f t="shared" si="38"/>
        <v/>
      </c>
      <c r="AN49" t="str">
        <f t="shared" si="1"/>
        <v/>
      </c>
    </row>
    <row r="50" spans="25:40" x14ac:dyDescent="0.3">
      <c r="Y50">
        <v>48</v>
      </c>
      <c r="Z50">
        <f t="shared" si="2"/>
        <v>48</v>
      </c>
      <c r="AA50">
        <f t="shared" si="2"/>
        <v>48</v>
      </c>
      <c r="AB50">
        <f t="shared" ref="AB50:AM50" si="52">IF($C$3&gt;=AB$1,AA50,"")</f>
        <v>48</v>
      </c>
      <c r="AC50">
        <f t="shared" si="52"/>
        <v>48</v>
      </c>
      <c r="AD50">
        <f t="shared" si="52"/>
        <v>48</v>
      </c>
      <c r="AE50">
        <f t="shared" si="52"/>
        <v>48</v>
      </c>
      <c r="AF50">
        <f t="shared" si="52"/>
        <v>48</v>
      </c>
      <c r="AG50">
        <f t="shared" si="52"/>
        <v>48</v>
      </c>
      <c r="AH50">
        <f t="shared" si="52"/>
        <v>48</v>
      </c>
      <c r="AI50">
        <f t="shared" si="52"/>
        <v>48</v>
      </c>
      <c r="AJ50">
        <f t="shared" si="52"/>
        <v>48</v>
      </c>
      <c r="AK50" t="str">
        <f t="shared" si="52"/>
        <v/>
      </c>
      <c r="AL50" t="str">
        <f t="shared" si="52"/>
        <v/>
      </c>
      <c r="AM50" t="str">
        <f t="shared" si="52"/>
        <v/>
      </c>
      <c r="AN50" t="str">
        <f t="shared" si="1"/>
        <v/>
      </c>
    </row>
    <row r="51" spans="25:40" x14ac:dyDescent="0.3">
      <c r="Y51">
        <v>49</v>
      </c>
      <c r="Z51">
        <f t="shared" si="2"/>
        <v>49</v>
      </c>
      <c r="AA51">
        <f t="shared" si="2"/>
        <v>49</v>
      </c>
      <c r="AB51">
        <f t="shared" ref="AB51:AL51" si="53">IF($C$3&gt;=AB$1,AA51,"")</f>
        <v>49</v>
      </c>
      <c r="AC51">
        <f t="shared" si="53"/>
        <v>49</v>
      </c>
      <c r="AD51">
        <f t="shared" si="53"/>
        <v>49</v>
      </c>
      <c r="AE51">
        <f t="shared" si="53"/>
        <v>49</v>
      </c>
      <c r="AF51">
        <f t="shared" si="53"/>
        <v>49</v>
      </c>
      <c r="AG51">
        <f t="shared" si="53"/>
        <v>49</v>
      </c>
      <c r="AH51">
        <f t="shared" si="53"/>
        <v>49</v>
      </c>
      <c r="AI51">
        <f t="shared" si="53"/>
        <v>49</v>
      </c>
      <c r="AJ51">
        <f t="shared" si="53"/>
        <v>49</v>
      </c>
      <c r="AK51" t="str">
        <f t="shared" si="53"/>
        <v/>
      </c>
      <c r="AL51" t="str">
        <f t="shared" si="53"/>
        <v/>
      </c>
      <c r="AM51" t="str">
        <f t="shared" si="38"/>
        <v/>
      </c>
      <c r="AN51" t="str">
        <f t="shared" si="1"/>
        <v/>
      </c>
    </row>
    <row r="52" spans="25:40" x14ac:dyDescent="0.3">
      <c r="Y52">
        <v>50</v>
      </c>
      <c r="Z52">
        <f t="shared" si="2"/>
        <v>50</v>
      </c>
      <c r="AA52">
        <f t="shared" si="2"/>
        <v>50</v>
      </c>
      <c r="AB52">
        <f t="shared" ref="AB52:AM61" si="54">IF($C$3&gt;=AB$1,AA52,"")</f>
        <v>50</v>
      </c>
      <c r="AC52">
        <f t="shared" si="54"/>
        <v>50</v>
      </c>
      <c r="AD52">
        <f t="shared" si="54"/>
        <v>50</v>
      </c>
      <c r="AE52">
        <f t="shared" si="54"/>
        <v>50</v>
      </c>
      <c r="AF52">
        <f t="shared" si="54"/>
        <v>50</v>
      </c>
      <c r="AG52">
        <f t="shared" si="54"/>
        <v>50</v>
      </c>
      <c r="AH52">
        <f t="shared" si="54"/>
        <v>50</v>
      </c>
      <c r="AI52">
        <f t="shared" si="54"/>
        <v>50</v>
      </c>
      <c r="AJ52">
        <f t="shared" si="54"/>
        <v>50</v>
      </c>
      <c r="AK52" t="str">
        <f t="shared" si="54"/>
        <v/>
      </c>
      <c r="AL52" t="str">
        <f t="shared" si="54"/>
        <v/>
      </c>
      <c r="AM52" t="str">
        <f t="shared" si="54"/>
        <v/>
      </c>
      <c r="AN52" t="str">
        <f t="shared" si="1"/>
        <v/>
      </c>
    </row>
    <row r="53" spans="25:40" x14ac:dyDescent="0.3">
      <c r="Y53">
        <v>51</v>
      </c>
      <c r="Z53">
        <f t="shared" si="2"/>
        <v>51</v>
      </c>
      <c r="AA53">
        <f t="shared" si="2"/>
        <v>51</v>
      </c>
      <c r="AB53">
        <f t="shared" ref="AB53:AL53" si="55">IF($C$3&gt;=AB$1,AA53,"")</f>
        <v>51</v>
      </c>
      <c r="AC53">
        <f t="shared" si="55"/>
        <v>51</v>
      </c>
      <c r="AD53">
        <f t="shared" si="55"/>
        <v>51</v>
      </c>
      <c r="AE53">
        <f t="shared" si="55"/>
        <v>51</v>
      </c>
      <c r="AF53">
        <f t="shared" si="55"/>
        <v>51</v>
      </c>
      <c r="AG53">
        <f t="shared" si="55"/>
        <v>51</v>
      </c>
      <c r="AH53">
        <f t="shared" si="55"/>
        <v>51</v>
      </c>
      <c r="AI53">
        <f t="shared" si="55"/>
        <v>51</v>
      </c>
      <c r="AJ53">
        <f t="shared" si="55"/>
        <v>51</v>
      </c>
      <c r="AK53" t="str">
        <f t="shared" si="55"/>
        <v/>
      </c>
      <c r="AL53" t="str">
        <f t="shared" si="55"/>
        <v/>
      </c>
      <c r="AM53" t="str">
        <f t="shared" si="54"/>
        <v/>
      </c>
      <c r="AN53" t="str">
        <f t="shared" si="1"/>
        <v/>
      </c>
    </row>
    <row r="54" spans="25:40" x14ac:dyDescent="0.3">
      <c r="Y54">
        <v>52</v>
      </c>
      <c r="Z54">
        <f t="shared" si="2"/>
        <v>52</v>
      </c>
      <c r="AA54">
        <f t="shared" si="2"/>
        <v>52</v>
      </c>
      <c r="AB54">
        <f t="shared" ref="AB54:AM54" si="56">IF($C$3&gt;=AB$1,AA54,"")</f>
        <v>52</v>
      </c>
      <c r="AC54">
        <f t="shared" si="56"/>
        <v>52</v>
      </c>
      <c r="AD54">
        <f t="shared" si="56"/>
        <v>52</v>
      </c>
      <c r="AE54">
        <f t="shared" si="56"/>
        <v>52</v>
      </c>
      <c r="AF54">
        <f t="shared" si="56"/>
        <v>52</v>
      </c>
      <c r="AG54">
        <f t="shared" si="56"/>
        <v>52</v>
      </c>
      <c r="AH54">
        <f t="shared" si="56"/>
        <v>52</v>
      </c>
      <c r="AI54">
        <f t="shared" si="56"/>
        <v>52</v>
      </c>
      <c r="AJ54">
        <f t="shared" si="56"/>
        <v>52</v>
      </c>
      <c r="AK54" t="str">
        <f t="shared" si="56"/>
        <v/>
      </c>
      <c r="AL54" t="str">
        <f t="shared" si="56"/>
        <v/>
      </c>
      <c r="AM54" t="str">
        <f t="shared" si="56"/>
        <v/>
      </c>
      <c r="AN54" t="str">
        <f t="shared" si="1"/>
        <v/>
      </c>
    </row>
    <row r="55" spans="25:40" x14ac:dyDescent="0.3">
      <c r="Y55">
        <v>53</v>
      </c>
      <c r="Z55">
        <f t="shared" si="2"/>
        <v>53</v>
      </c>
      <c r="AA55">
        <f t="shared" si="2"/>
        <v>53</v>
      </c>
      <c r="AB55">
        <f t="shared" ref="AB55:AL55" si="57">IF($C$3&gt;=AB$1,AA55,"")</f>
        <v>53</v>
      </c>
      <c r="AC55">
        <f t="shared" si="57"/>
        <v>53</v>
      </c>
      <c r="AD55">
        <f t="shared" si="57"/>
        <v>53</v>
      </c>
      <c r="AE55">
        <f t="shared" si="57"/>
        <v>53</v>
      </c>
      <c r="AF55">
        <f t="shared" si="57"/>
        <v>53</v>
      </c>
      <c r="AG55">
        <f t="shared" si="57"/>
        <v>53</v>
      </c>
      <c r="AH55">
        <f t="shared" si="57"/>
        <v>53</v>
      </c>
      <c r="AI55">
        <f t="shared" si="57"/>
        <v>53</v>
      </c>
      <c r="AJ55">
        <f t="shared" si="57"/>
        <v>53</v>
      </c>
      <c r="AK55" t="str">
        <f t="shared" si="57"/>
        <v/>
      </c>
      <c r="AL55" t="str">
        <f t="shared" si="57"/>
        <v/>
      </c>
      <c r="AM55" t="str">
        <f t="shared" si="54"/>
        <v/>
      </c>
      <c r="AN55" t="str">
        <f t="shared" si="1"/>
        <v/>
      </c>
    </row>
    <row r="56" spans="25:40" x14ac:dyDescent="0.3">
      <c r="Y56">
        <v>54</v>
      </c>
      <c r="Z56">
        <f t="shared" si="2"/>
        <v>54</v>
      </c>
      <c r="AA56">
        <f t="shared" si="2"/>
        <v>54</v>
      </c>
      <c r="AB56">
        <f t="shared" ref="AB56:AM56" si="58">IF($C$3&gt;=AB$1,AA56,"")</f>
        <v>54</v>
      </c>
      <c r="AC56">
        <f t="shared" si="58"/>
        <v>54</v>
      </c>
      <c r="AD56">
        <f t="shared" si="58"/>
        <v>54</v>
      </c>
      <c r="AE56">
        <f t="shared" si="58"/>
        <v>54</v>
      </c>
      <c r="AF56">
        <f t="shared" si="58"/>
        <v>54</v>
      </c>
      <c r="AG56">
        <f t="shared" si="58"/>
        <v>54</v>
      </c>
      <c r="AH56">
        <f t="shared" si="58"/>
        <v>54</v>
      </c>
      <c r="AI56">
        <f t="shared" si="58"/>
        <v>54</v>
      </c>
      <c r="AJ56">
        <f t="shared" si="58"/>
        <v>54</v>
      </c>
      <c r="AK56" t="str">
        <f t="shared" si="58"/>
        <v/>
      </c>
      <c r="AL56" t="str">
        <f t="shared" si="58"/>
        <v/>
      </c>
      <c r="AM56" t="str">
        <f t="shared" si="58"/>
        <v/>
      </c>
      <c r="AN56" t="str">
        <f t="shared" si="1"/>
        <v/>
      </c>
    </row>
    <row r="57" spans="25:40" x14ac:dyDescent="0.3">
      <c r="Y57">
        <v>55</v>
      </c>
      <c r="Z57">
        <f t="shared" si="2"/>
        <v>55</v>
      </c>
      <c r="AA57">
        <f t="shared" si="2"/>
        <v>55</v>
      </c>
      <c r="AB57">
        <f t="shared" ref="AB57:AL57" si="59">IF($C$3&gt;=AB$1,AA57,"")</f>
        <v>55</v>
      </c>
      <c r="AC57">
        <f t="shared" si="59"/>
        <v>55</v>
      </c>
      <c r="AD57">
        <f t="shared" si="59"/>
        <v>55</v>
      </c>
      <c r="AE57">
        <f t="shared" si="59"/>
        <v>55</v>
      </c>
      <c r="AF57">
        <f t="shared" si="59"/>
        <v>55</v>
      </c>
      <c r="AG57">
        <f t="shared" si="59"/>
        <v>55</v>
      </c>
      <c r="AH57">
        <f t="shared" si="59"/>
        <v>55</v>
      </c>
      <c r="AI57">
        <f t="shared" si="59"/>
        <v>55</v>
      </c>
      <c r="AJ57">
        <f t="shared" si="59"/>
        <v>55</v>
      </c>
      <c r="AK57" t="str">
        <f t="shared" si="59"/>
        <v/>
      </c>
      <c r="AL57" t="str">
        <f t="shared" si="59"/>
        <v/>
      </c>
      <c r="AM57" t="str">
        <f t="shared" si="54"/>
        <v/>
      </c>
      <c r="AN57" t="str">
        <f t="shared" si="1"/>
        <v/>
      </c>
    </row>
    <row r="58" spans="25:40" x14ac:dyDescent="0.3">
      <c r="Y58">
        <v>56</v>
      </c>
      <c r="Z58">
        <f t="shared" si="2"/>
        <v>56</v>
      </c>
      <c r="AA58">
        <f t="shared" si="2"/>
        <v>56</v>
      </c>
      <c r="AB58">
        <f t="shared" ref="AB58:AM58" si="60">IF($C$3&gt;=AB$1,AA58,"")</f>
        <v>56</v>
      </c>
      <c r="AC58">
        <f t="shared" si="60"/>
        <v>56</v>
      </c>
      <c r="AD58">
        <f t="shared" si="60"/>
        <v>56</v>
      </c>
      <c r="AE58">
        <f t="shared" si="60"/>
        <v>56</v>
      </c>
      <c r="AF58">
        <f t="shared" si="60"/>
        <v>56</v>
      </c>
      <c r="AG58">
        <f t="shared" si="60"/>
        <v>56</v>
      </c>
      <c r="AH58">
        <f t="shared" si="60"/>
        <v>56</v>
      </c>
      <c r="AI58">
        <f t="shared" si="60"/>
        <v>56</v>
      </c>
      <c r="AJ58">
        <f t="shared" si="60"/>
        <v>56</v>
      </c>
      <c r="AK58" t="str">
        <f t="shared" si="60"/>
        <v/>
      </c>
      <c r="AL58" t="str">
        <f t="shared" si="60"/>
        <v/>
      </c>
      <c r="AM58" t="str">
        <f t="shared" si="60"/>
        <v/>
      </c>
      <c r="AN58" t="str">
        <f t="shared" si="1"/>
        <v/>
      </c>
    </row>
    <row r="59" spans="25:40" x14ac:dyDescent="0.3">
      <c r="Y59">
        <v>57</v>
      </c>
      <c r="Z59">
        <f t="shared" si="2"/>
        <v>57</v>
      </c>
      <c r="AA59">
        <f t="shared" si="2"/>
        <v>57</v>
      </c>
      <c r="AB59">
        <f t="shared" ref="AB59:AL59" si="61">IF($C$3&gt;=AB$1,AA59,"")</f>
        <v>57</v>
      </c>
      <c r="AC59">
        <f t="shared" si="61"/>
        <v>57</v>
      </c>
      <c r="AD59">
        <f t="shared" si="61"/>
        <v>57</v>
      </c>
      <c r="AE59">
        <f t="shared" si="61"/>
        <v>57</v>
      </c>
      <c r="AF59">
        <f t="shared" si="61"/>
        <v>57</v>
      </c>
      <c r="AG59">
        <f t="shared" si="61"/>
        <v>57</v>
      </c>
      <c r="AH59">
        <f t="shared" si="61"/>
        <v>57</v>
      </c>
      <c r="AI59">
        <f t="shared" si="61"/>
        <v>57</v>
      </c>
      <c r="AJ59">
        <f t="shared" si="61"/>
        <v>57</v>
      </c>
      <c r="AK59" t="str">
        <f t="shared" si="61"/>
        <v/>
      </c>
      <c r="AL59" t="str">
        <f t="shared" si="61"/>
        <v/>
      </c>
      <c r="AM59" t="str">
        <f t="shared" si="54"/>
        <v/>
      </c>
      <c r="AN59" t="str">
        <f t="shared" si="1"/>
        <v/>
      </c>
    </row>
    <row r="60" spans="25:40" x14ac:dyDescent="0.3">
      <c r="Y60">
        <v>58</v>
      </c>
      <c r="Z60">
        <f t="shared" si="2"/>
        <v>58</v>
      </c>
      <c r="AA60">
        <f t="shared" si="2"/>
        <v>58</v>
      </c>
      <c r="AB60">
        <f t="shared" ref="AB60:AM60" si="62">IF($C$3&gt;=AB$1,AA60,"")</f>
        <v>58</v>
      </c>
      <c r="AC60">
        <f t="shared" si="62"/>
        <v>58</v>
      </c>
      <c r="AD60">
        <f t="shared" si="62"/>
        <v>58</v>
      </c>
      <c r="AE60">
        <f t="shared" si="62"/>
        <v>58</v>
      </c>
      <c r="AF60">
        <f t="shared" si="62"/>
        <v>58</v>
      </c>
      <c r="AG60">
        <f t="shared" si="62"/>
        <v>58</v>
      </c>
      <c r="AH60">
        <f t="shared" si="62"/>
        <v>58</v>
      </c>
      <c r="AI60">
        <f t="shared" si="62"/>
        <v>58</v>
      </c>
      <c r="AJ60">
        <f t="shared" si="62"/>
        <v>58</v>
      </c>
      <c r="AK60" t="str">
        <f t="shared" si="62"/>
        <v/>
      </c>
      <c r="AL60" t="str">
        <f t="shared" si="62"/>
        <v/>
      </c>
      <c r="AM60" t="str">
        <f t="shared" si="62"/>
        <v/>
      </c>
      <c r="AN60" t="str">
        <f t="shared" si="1"/>
        <v/>
      </c>
    </row>
    <row r="61" spans="25:40" x14ac:dyDescent="0.3">
      <c r="Y61">
        <v>59</v>
      </c>
      <c r="Z61">
        <f t="shared" si="2"/>
        <v>59</v>
      </c>
      <c r="AA61">
        <f t="shared" si="2"/>
        <v>59</v>
      </c>
      <c r="AB61">
        <f t="shared" ref="AB61:AL61" si="63">IF($C$3&gt;=AB$1,AA61,"")</f>
        <v>59</v>
      </c>
      <c r="AC61">
        <f t="shared" si="63"/>
        <v>59</v>
      </c>
      <c r="AD61">
        <f t="shared" si="63"/>
        <v>59</v>
      </c>
      <c r="AE61">
        <f t="shared" si="63"/>
        <v>59</v>
      </c>
      <c r="AF61">
        <f t="shared" si="63"/>
        <v>59</v>
      </c>
      <c r="AG61">
        <f t="shared" si="63"/>
        <v>59</v>
      </c>
      <c r="AH61">
        <f t="shared" si="63"/>
        <v>59</v>
      </c>
      <c r="AI61">
        <f t="shared" si="63"/>
        <v>59</v>
      </c>
      <c r="AJ61">
        <f t="shared" si="63"/>
        <v>59</v>
      </c>
      <c r="AK61" t="str">
        <f t="shared" si="63"/>
        <v/>
      </c>
      <c r="AL61" t="str">
        <f t="shared" si="63"/>
        <v/>
      </c>
      <c r="AM61" t="str">
        <f t="shared" si="54"/>
        <v/>
      </c>
      <c r="AN61" t="str">
        <f t="shared" si="1"/>
        <v/>
      </c>
    </row>
    <row r="62" spans="25:40" x14ac:dyDescent="0.3">
      <c r="Y62">
        <v>60</v>
      </c>
      <c r="Z62">
        <f t="shared" si="2"/>
        <v>60</v>
      </c>
      <c r="AA62">
        <f t="shared" si="2"/>
        <v>60</v>
      </c>
      <c r="AB62">
        <f t="shared" ref="AB62:AM62" si="64">IF($C$3&gt;=AB$1,AA62,"")</f>
        <v>60</v>
      </c>
      <c r="AC62">
        <f t="shared" si="64"/>
        <v>60</v>
      </c>
      <c r="AD62">
        <f t="shared" si="64"/>
        <v>60</v>
      </c>
      <c r="AE62">
        <f t="shared" si="64"/>
        <v>60</v>
      </c>
      <c r="AF62">
        <f t="shared" si="64"/>
        <v>60</v>
      </c>
      <c r="AG62">
        <f t="shared" si="64"/>
        <v>60</v>
      </c>
      <c r="AH62">
        <f t="shared" si="64"/>
        <v>60</v>
      </c>
      <c r="AI62">
        <f t="shared" si="64"/>
        <v>60</v>
      </c>
      <c r="AJ62">
        <f t="shared" si="64"/>
        <v>60</v>
      </c>
      <c r="AK62" t="str">
        <f t="shared" si="64"/>
        <v/>
      </c>
      <c r="AL62" t="str">
        <f t="shared" si="64"/>
        <v/>
      </c>
      <c r="AM62" t="str">
        <f t="shared" si="64"/>
        <v/>
      </c>
      <c r="AN62" t="str">
        <f t="shared" si="1"/>
        <v/>
      </c>
    </row>
  </sheetData>
  <sheetProtection algorithmName="SHA-512" hashValue="NMQoASaNeKoXTL5ozhFi5kEtV7pbdgzSNb/tWh7glpg7RuMDgP+JXyXXCFzZUUNaLJXgq1/B8aYFCMWgvvUHEA==" saltValue="6VEt2JcV0IW/kh1HouiVvg==" spinCount="100000" sheet="1" objects="1" scenarios="1"/>
  <mergeCells count="27">
    <mergeCell ref="B1:W1"/>
    <mergeCell ref="C2:E2"/>
    <mergeCell ref="H2:J2"/>
    <mergeCell ref="T2:W2"/>
    <mergeCell ref="G18:H18"/>
    <mergeCell ref="J18:K18"/>
    <mergeCell ref="M18:N18"/>
    <mergeCell ref="P18:Q18"/>
    <mergeCell ref="J24:O30"/>
    <mergeCell ref="P24:U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20:C23"/>
    <mergeCell ref="E20:F20"/>
    <mergeCell ref="E21:F21"/>
    <mergeCell ref="J23:O23"/>
    <mergeCell ref="P23:U23"/>
  </mergeCells>
  <conditionalFormatting sqref="E4:E14">
    <cfRule type="cellIs" dxfId="169" priority="22" operator="equal">
      <formula>0</formula>
    </cfRule>
    <cfRule type="cellIs" dxfId="168" priority="23" operator="lessThan">
      <formula>0</formula>
    </cfRule>
  </conditionalFormatting>
  <conditionalFormatting sqref="G3">
    <cfRule type="expression" dxfId="167" priority="1">
      <formula>C3&lt;1</formula>
    </cfRule>
  </conditionalFormatting>
  <conditionalFormatting sqref="G20:U20">
    <cfRule type="expression" dxfId="166" priority="19" stopIfTrue="1">
      <formula>G16=3</formula>
    </cfRule>
    <cfRule type="expression" dxfId="165" priority="20" stopIfTrue="1">
      <formula>G16=2</formula>
    </cfRule>
    <cfRule type="expression" dxfId="164" priority="21" stopIfTrue="1">
      <formula>G16=1</formula>
    </cfRule>
  </conditionalFormatting>
  <conditionalFormatting sqref="H3">
    <cfRule type="expression" dxfId="163" priority="2">
      <formula>C3&lt;2</formula>
    </cfRule>
  </conditionalFormatting>
  <conditionalFormatting sqref="I3">
    <cfRule type="expression" dxfId="162" priority="3">
      <formula>C3&lt;3</formula>
    </cfRule>
  </conditionalFormatting>
  <conditionalFormatting sqref="J3">
    <cfRule type="expression" dxfId="161" priority="4">
      <formula>C3&lt;4</formula>
    </cfRule>
  </conditionalFormatting>
  <conditionalFormatting sqref="K3">
    <cfRule type="expression" dxfId="160" priority="5">
      <formula>C3&lt;5</formula>
    </cfRule>
  </conditionalFormatting>
  <conditionalFormatting sqref="L3">
    <cfRule type="expression" dxfId="159" priority="6">
      <formula>C3&lt;6</formula>
    </cfRule>
  </conditionalFormatting>
  <conditionalFormatting sqref="M3">
    <cfRule type="expression" dxfId="158" priority="7">
      <formula>C3&lt;7</formula>
    </cfRule>
  </conditionalFormatting>
  <conditionalFormatting sqref="N3">
    <cfRule type="expression" dxfId="157" priority="8">
      <formula>C3&lt;8</formula>
    </cfRule>
  </conditionalFormatting>
  <conditionalFormatting sqref="O3">
    <cfRule type="expression" dxfId="156" priority="9">
      <formula>C3&lt;9</formula>
    </cfRule>
  </conditionalFormatting>
  <conditionalFormatting sqref="P3">
    <cfRule type="expression" dxfId="155" priority="10">
      <formula>C3&lt;10</formula>
    </cfRule>
  </conditionalFormatting>
  <conditionalFormatting sqref="Q3:Q14">
    <cfRule type="expression" dxfId="154" priority="11" stopIfTrue="1">
      <formula>$C$3&lt;11</formula>
    </cfRule>
  </conditionalFormatting>
  <conditionalFormatting sqref="R3">
    <cfRule type="expression" dxfId="153" priority="12">
      <formula>C3&lt;12</formula>
    </cfRule>
  </conditionalFormatting>
  <conditionalFormatting sqref="S3">
    <cfRule type="expression" dxfId="152" priority="13">
      <formula>C3&lt;13</formula>
    </cfRule>
  </conditionalFormatting>
  <conditionalFormatting sqref="T3">
    <cfRule type="expression" dxfId="151" priority="14">
      <formula>C3&lt;14</formula>
    </cfRule>
  </conditionalFormatting>
  <conditionalFormatting sqref="U3">
    <cfRule type="expression" dxfId="150" priority="15">
      <formula>C3&lt;15</formula>
    </cfRule>
  </conditionalFormatting>
  <dataValidations count="15">
    <dataValidation type="list" showInputMessage="1" showErrorMessage="1" sqref="G4:G14" xr:uid="{00000000-0002-0000-0100-000000000000}">
      <formula1>$Z$1:$Z$62</formula1>
    </dataValidation>
    <dataValidation type="list" allowBlank="1" showInputMessage="1" showErrorMessage="1" error="Cette classe n'existe pas,il faut peut-être augmenter le nombre de classes." sqref="H4:H14" xr:uid="{00000000-0002-0000-0100-000001000000}">
      <formula1>$AA$1:$AA$62</formula1>
    </dataValidation>
    <dataValidation type="list" allowBlank="1" showInputMessage="1" showErrorMessage="1" error="Cette classe n'existe pas,il faut peut-être augmenter le nombre de classes." sqref="I4:I14" xr:uid="{00000000-0002-0000-0100-000002000000}">
      <formula1>$AB$2:$AB$63</formula1>
    </dataValidation>
    <dataValidation type="list" allowBlank="1" showInputMessage="1" showErrorMessage="1" error="Cette classe n'existe pas,il faut peut-être augmenter le nombre de classes." sqref="J4:J14" xr:uid="{00000000-0002-0000-0100-000003000000}">
      <formula1>$AC$2:$AC$63</formula1>
    </dataValidation>
    <dataValidation type="list" allowBlank="1" showInputMessage="1" showErrorMessage="1" error="Cette classe n'existe pas,il faut peut-être augmenter le nombre de classes." sqref="K4:K14" xr:uid="{00000000-0002-0000-0100-000004000000}">
      <formula1>$AD$2:$AD$63</formula1>
    </dataValidation>
    <dataValidation type="list" allowBlank="1" showInputMessage="1" showErrorMessage="1" error="Cette classe n'existe pas, il faut peut-être augmenter le nombre de classes." sqref="L4:L14" xr:uid="{00000000-0002-0000-0100-000005000000}">
      <formula1>$AE$2:$AE$63</formula1>
    </dataValidation>
    <dataValidation type="list" allowBlank="1" showInputMessage="1" showErrorMessage="1" error="Cette classe n'existe pas,il faut peut-être augmenter le nombre de classes." sqref="M4:M14" xr:uid="{00000000-0002-0000-0100-000006000000}">
      <formula1>$AF$2:$AF$63</formula1>
    </dataValidation>
    <dataValidation type="list" allowBlank="1" showInputMessage="1" showErrorMessage="1" error="Cette classe n'existe pas,il faut peut-être augmenter le nombre de classes." sqref="N4:N14" xr:uid="{00000000-0002-0000-0100-000007000000}">
      <formula1>$AG$2:$AG$63</formula1>
    </dataValidation>
    <dataValidation type="list" allowBlank="1" showInputMessage="1" showErrorMessage="1" error="Cette classe n'existe pas,il faut peut-être augmenter le nombre de classes." sqref="O4:O14" xr:uid="{00000000-0002-0000-0100-000008000000}">
      <formula1>$AH$2:$AH$63</formula1>
    </dataValidation>
    <dataValidation type="list" allowBlank="1" showInputMessage="1" showErrorMessage="1" error="Cette classe n'existe pas,il faut peut-être augmenter le nombre de classes." sqref="P4:P14" xr:uid="{00000000-0002-0000-0100-000009000000}">
      <formula1>$AI$2:$AI$63</formula1>
    </dataValidation>
    <dataValidation type="list" allowBlank="1" showInputMessage="1" showErrorMessage="1" error="Cette classe n'existe pas,il faut peut-être augmenter le nombre de classes." sqref="Q4:Q14" xr:uid="{00000000-0002-0000-0100-00000A000000}">
      <formula1>$AJ$2:$AJ$63</formula1>
    </dataValidation>
    <dataValidation type="list" allowBlank="1" showInputMessage="1" showErrorMessage="1" error="Cette classe n'existe pas,il faut peut-être augmenter le nombre de classes." sqref="R4:R14" xr:uid="{00000000-0002-0000-0100-00000B000000}">
      <formula1>$AK$2:$AK$63</formula1>
    </dataValidation>
    <dataValidation type="list" allowBlank="1" showInputMessage="1" showErrorMessage="1" error="Cette classe n'existe pas,il faut peut-être augmenter le nombre de classes." sqref="S4:S14" xr:uid="{00000000-0002-0000-0100-00000C000000}">
      <formula1>$AL$2:$AL$63</formula1>
    </dataValidation>
    <dataValidation type="list" allowBlank="1" showInputMessage="1" showErrorMessage="1" error="Cette classe n'existe pas,il faut peut-être augmenter le nombre de classes." sqref="T4:T14" xr:uid="{00000000-0002-0000-0100-00000D000000}">
      <formula1>$AM$2:$AM$63</formula1>
    </dataValidation>
    <dataValidation type="list" allowBlank="1" showInputMessage="1" showErrorMessage="1" error="Cette classe n'existe pas,il faut peut-être augmenter le nombre de classes." sqref="U4:U14" xr:uid="{00000000-0002-0000-0100-00000E000000}">
      <formula1>$AN$2:$AN$63</formula1>
    </dataValidation>
  </dataValidation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76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3">
    <tabColor rgb="FF00B050"/>
    <pageSetUpPr fitToPage="1"/>
  </sheetPr>
  <dimension ref="A1:BG62"/>
  <sheetViews>
    <sheetView topLeftCell="A4"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idden="1" x14ac:dyDescent="0.3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idden="1" x14ac:dyDescent="0.3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phoneticPr fontId="9" type="noConversion"/>
  <conditionalFormatting sqref="E4:E14">
    <cfRule type="cellIs" dxfId="149" priority="19" operator="equal">
      <formula>0</formula>
    </cfRule>
    <cfRule type="cellIs" dxfId="148" priority="20" operator="lessThan">
      <formula>0</formula>
    </cfRule>
  </conditionalFormatting>
  <conditionalFormatting sqref="G3:AN3">
    <cfRule type="expression" dxfId="147" priority="4">
      <formula>XFD3&lt;4</formula>
    </cfRule>
  </conditionalFormatting>
  <conditionalFormatting sqref="G20:AN20">
    <cfRule type="expression" dxfId="146" priority="16" stopIfTrue="1">
      <formula>G16=3</formula>
    </cfRule>
    <cfRule type="expression" dxfId="145" priority="17" stopIfTrue="1">
      <formula>G16=2</formula>
    </cfRule>
    <cfRule type="expression" dxfId="144" priority="18" stopIfTrue="1">
      <formula>G16=1</formula>
    </cfRule>
    <cfRule type="expression" dxfId="143" priority="36" stopIfTrue="1">
      <formula>G16=3</formula>
    </cfRule>
    <cfRule type="expression" dxfId="142" priority="37" stopIfTrue="1">
      <formula>G16=2</formula>
    </cfRule>
    <cfRule type="expression" dxfId="141" priority="38" stopIfTrue="1">
      <formula>G16=1</formula>
    </cfRule>
  </conditionalFormatting>
  <conditionalFormatting sqref="AJ4:AJ14">
    <cfRule type="expression" dxfId="140" priority="11" stopIfTrue="1">
      <formula>$C$3&lt;11</formula>
    </cfRule>
  </conditionalFormatting>
  <dataValidations count="1">
    <dataValidation type="list" allowBlank="1" showInputMessage="1" showErrorMessage="1" sqref="G4:AN14" xr:uid="{45584844-2465-4314-B146-64A4EC525205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B7C6-8DD7-4FCB-862C-B2C301750C7D}">
  <sheetPr codeName="Feuil4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139" priority="6" operator="equal">
      <formula>0</formula>
    </cfRule>
    <cfRule type="cellIs" dxfId="138" priority="7" operator="lessThan">
      <formula>0</formula>
    </cfRule>
  </conditionalFormatting>
  <conditionalFormatting sqref="G3:AN3">
    <cfRule type="expression" dxfId="137" priority="1">
      <formula>XFD3&lt;4</formula>
    </cfRule>
  </conditionalFormatting>
  <conditionalFormatting sqref="G20:AN20">
    <cfRule type="expression" dxfId="136" priority="3" stopIfTrue="1">
      <formula>G16=3</formula>
    </cfRule>
    <cfRule type="expression" dxfId="135" priority="4" stopIfTrue="1">
      <formula>G16=2</formula>
    </cfRule>
    <cfRule type="expression" dxfId="134" priority="5" stopIfTrue="1">
      <formula>G16=1</formula>
    </cfRule>
    <cfRule type="expression" dxfId="133" priority="8" stopIfTrue="1">
      <formula>G16=3</formula>
    </cfRule>
    <cfRule type="expression" dxfId="132" priority="9" stopIfTrue="1">
      <formula>G16=2</formula>
    </cfRule>
    <cfRule type="expression" dxfId="131" priority="10" stopIfTrue="1">
      <formula>G16=1</formula>
    </cfRule>
  </conditionalFormatting>
  <conditionalFormatting sqref="AJ4:AJ14">
    <cfRule type="expression" dxfId="130" priority="2" stopIfTrue="1">
      <formula>$C$3&lt;11</formula>
    </cfRule>
  </conditionalFormatting>
  <dataValidations count="1">
    <dataValidation type="list" allowBlank="1" showInputMessage="1" showErrorMessage="1" sqref="G4:AN14" xr:uid="{AF48BFB0-9083-48A6-AA7A-8CEC9D354481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7A447-DC31-4E31-9757-35A47A71BF15}">
  <sheetPr codeName="Feuil5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129" priority="6" operator="equal">
      <formula>0</formula>
    </cfRule>
    <cfRule type="cellIs" dxfId="128" priority="7" operator="lessThan">
      <formula>0</formula>
    </cfRule>
  </conditionalFormatting>
  <conditionalFormatting sqref="G3:AN3">
    <cfRule type="expression" dxfId="127" priority="1">
      <formula>XFD3&lt;4</formula>
    </cfRule>
  </conditionalFormatting>
  <conditionalFormatting sqref="G20:AN20">
    <cfRule type="expression" dxfId="126" priority="3" stopIfTrue="1">
      <formula>G16=3</formula>
    </cfRule>
    <cfRule type="expression" dxfId="125" priority="4" stopIfTrue="1">
      <formula>G16=2</formula>
    </cfRule>
    <cfRule type="expression" dxfId="124" priority="5" stopIfTrue="1">
      <formula>G16=1</formula>
    </cfRule>
    <cfRule type="expression" dxfId="123" priority="8" stopIfTrue="1">
      <formula>G16=3</formula>
    </cfRule>
    <cfRule type="expression" dxfId="122" priority="9" stopIfTrue="1">
      <formula>G16=2</formula>
    </cfRule>
    <cfRule type="expression" dxfId="121" priority="10" stopIfTrue="1">
      <formula>G16=1</formula>
    </cfRule>
  </conditionalFormatting>
  <conditionalFormatting sqref="AJ4:AJ14">
    <cfRule type="expression" dxfId="120" priority="2" stopIfTrue="1">
      <formula>$C$3&lt;11</formula>
    </cfRule>
  </conditionalFormatting>
  <dataValidations count="1">
    <dataValidation type="list" allowBlank="1" showInputMessage="1" showErrorMessage="1" sqref="G4:AN14" xr:uid="{6DC9FCEB-89FC-4D85-B381-6777C6B6F787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021A3-236E-412B-81D2-14AB9DE3512E}">
  <sheetPr codeName="Feuil6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119" priority="6" operator="equal">
      <formula>0</formula>
    </cfRule>
    <cfRule type="cellIs" dxfId="118" priority="7" operator="lessThan">
      <formula>0</formula>
    </cfRule>
  </conditionalFormatting>
  <conditionalFormatting sqref="G3:AN3">
    <cfRule type="expression" dxfId="117" priority="1">
      <formula>XFD3&lt;4</formula>
    </cfRule>
  </conditionalFormatting>
  <conditionalFormatting sqref="G20:AN20">
    <cfRule type="expression" dxfId="116" priority="3" stopIfTrue="1">
      <formula>G16=3</formula>
    </cfRule>
    <cfRule type="expression" dxfId="115" priority="4" stopIfTrue="1">
      <formula>G16=2</formula>
    </cfRule>
    <cfRule type="expression" dxfId="114" priority="5" stopIfTrue="1">
      <formula>G16=1</formula>
    </cfRule>
    <cfRule type="expression" dxfId="113" priority="8" stopIfTrue="1">
      <formula>G16=3</formula>
    </cfRule>
    <cfRule type="expression" dxfId="112" priority="9" stopIfTrue="1">
      <formula>G16=2</formula>
    </cfRule>
    <cfRule type="expression" dxfId="111" priority="10" stopIfTrue="1">
      <formula>G16=1</formula>
    </cfRule>
  </conditionalFormatting>
  <conditionalFormatting sqref="AJ4:AJ14">
    <cfRule type="expression" dxfId="110" priority="2" stopIfTrue="1">
      <formula>$C$3&lt;11</formula>
    </cfRule>
  </conditionalFormatting>
  <dataValidations count="1">
    <dataValidation type="list" allowBlank="1" showInputMessage="1" showErrorMessage="1" sqref="G4:AN14" xr:uid="{0EC4BB03-2943-434F-B09A-79B006DCB396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B2401-EBA2-49F3-8B31-922166EFE490}">
  <sheetPr codeName="Feuil7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109" priority="6" operator="equal">
      <formula>0</formula>
    </cfRule>
    <cfRule type="cellIs" dxfId="108" priority="7" operator="lessThan">
      <formula>0</formula>
    </cfRule>
  </conditionalFormatting>
  <conditionalFormatting sqref="G3:AN3">
    <cfRule type="expression" dxfId="107" priority="1">
      <formula>XFD3&lt;4</formula>
    </cfRule>
  </conditionalFormatting>
  <conditionalFormatting sqref="G20:AN20">
    <cfRule type="expression" dxfId="106" priority="3" stopIfTrue="1">
      <formula>G16=3</formula>
    </cfRule>
    <cfRule type="expression" dxfId="105" priority="4" stopIfTrue="1">
      <formula>G16=2</formula>
    </cfRule>
    <cfRule type="expression" dxfId="104" priority="5" stopIfTrue="1">
      <formula>G16=1</formula>
    </cfRule>
    <cfRule type="expression" dxfId="103" priority="8" stopIfTrue="1">
      <formula>G16=3</formula>
    </cfRule>
    <cfRule type="expression" dxfId="102" priority="9" stopIfTrue="1">
      <formula>G16=2</formula>
    </cfRule>
    <cfRule type="expression" dxfId="101" priority="10" stopIfTrue="1">
      <formula>G16=1</formula>
    </cfRule>
  </conditionalFormatting>
  <conditionalFormatting sqref="AJ4:AJ14">
    <cfRule type="expression" dxfId="100" priority="2" stopIfTrue="1">
      <formula>$C$3&lt;11</formula>
    </cfRule>
  </conditionalFormatting>
  <dataValidations count="1">
    <dataValidation type="list" allowBlank="1" showInputMessage="1" showErrorMessage="1" sqref="G4:AN14" xr:uid="{2A521FC4-42E1-46EE-A721-023F34FC6A92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E1E61-3E4C-418E-B2E9-4EE36647B59A}">
  <sheetPr codeName="Feuil8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99" priority="6" operator="equal">
      <formula>0</formula>
    </cfRule>
    <cfRule type="cellIs" dxfId="98" priority="7" operator="lessThan">
      <formula>0</formula>
    </cfRule>
  </conditionalFormatting>
  <conditionalFormatting sqref="G3:AN3">
    <cfRule type="expression" dxfId="97" priority="1">
      <formula>XFD3&lt;4</formula>
    </cfRule>
  </conditionalFormatting>
  <conditionalFormatting sqref="G20:AN20">
    <cfRule type="expression" dxfId="96" priority="3" stopIfTrue="1">
      <formula>G16=3</formula>
    </cfRule>
    <cfRule type="expression" dxfId="95" priority="4" stopIfTrue="1">
      <formula>G16=2</formula>
    </cfRule>
    <cfRule type="expression" dxfId="94" priority="5" stopIfTrue="1">
      <formula>G16=1</formula>
    </cfRule>
    <cfRule type="expression" dxfId="93" priority="8" stopIfTrue="1">
      <formula>G16=3</formula>
    </cfRule>
    <cfRule type="expression" dxfId="92" priority="9" stopIfTrue="1">
      <formula>G16=2</formula>
    </cfRule>
    <cfRule type="expression" dxfId="91" priority="10" stopIfTrue="1">
      <formula>G16=1</formula>
    </cfRule>
  </conditionalFormatting>
  <conditionalFormatting sqref="AJ4:AJ14">
    <cfRule type="expression" dxfId="90" priority="2" stopIfTrue="1">
      <formula>$C$3&lt;11</formula>
    </cfRule>
  </conditionalFormatting>
  <dataValidations count="1">
    <dataValidation type="list" allowBlank="1" showInputMessage="1" showErrorMessage="1" sqref="G4:AN14" xr:uid="{A1B10C81-8035-4A82-8F72-517B05908D1E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DC3A-52A0-4BB2-BED9-7CD19791EA3E}">
  <sheetPr codeName="Feuil9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89" priority="6" operator="equal">
      <formula>0</formula>
    </cfRule>
    <cfRule type="cellIs" dxfId="88" priority="7" operator="lessThan">
      <formula>0</formula>
    </cfRule>
  </conditionalFormatting>
  <conditionalFormatting sqref="G3:AN3">
    <cfRule type="expression" dxfId="87" priority="1">
      <formula>XFD3&lt;4</formula>
    </cfRule>
  </conditionalFormatting>
  <conditionalFormatting sqref="G20:AN20">
    <cfRule type="expression" dxfId="86" priority="3" stopIfTrue="1">
      <formula>G16=3</formula>
    </cfRule>
    <cfRule type="expression" dxfId="85" priority="4" stopIfTrue="1">
      <formula>G16=2</formula>
    </cfRule>
    <cfRule type="expression" dxfId="84" priority="5" stopIfTrue="1">
      <formula>G16=1</formula>
    </cfRule>
    <cfRule type="expression" dxfId="83" priority="8" stopIfTrue="1">
      <formula>G16=3</formula>
    </cfRule>
    <cfRule type="expression" dxfId="82" priority="9" stopIfTrue="1">
      <formula>G16=2</formula>
    </cfRule>
    <cfRule type="expression" dxfId="81" priority="10" stopIfTrue="1">
      <formula>G16=1</formula>
    </cfRule>
  </conditionalFormatting>
  <conditionalFormatting sqref="AJ4:AJ14">
    <cfRule type="expression" dxfId="80" priority="2" stopIfTrue="1">
      <formula>$C$3&lt;11</formula>
    </cfRule>
  </conditionalFormatting>
  <dataValidations count="1">
    <dataValidation type="list" allowBlank="1" showInputMessage="1" showErrorMessage="1" sqref="G4:AN14" xr:uid="{D3A7C4A8-F7B4-41B8-9A36-1E9293A56FED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2B23-99DD-425D-BC17-3EA21618163F}">
  <sheetPr codeName="Feuil10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79" priority="6" operator="equal">
      <formula>0</formula>
    </cfRule>
    <cfRule type="cellIs" dxfId="78" priority="7" operator="lessThan">
      <formula>0</formula>
    </cfRule>
  </conditionalFormatting>
  <conditionalFormatting sqref="G3:AN3">
    <cfRule type="expression" dxfId="77" priority="1">
      <formula>XFD3&lt;4</formula>
    </cfRule>
  </conditionalFormatting>
  <conditionalFormatting sqref="G20:AN20">
    <cfRule type="expression" dxfId="76" priority="3" stopIfTrue="1">
      <formula>G16=3</formula>
    </cfRule>
    <cfRule type="expression" dxfId="75" priority="4" stopIfTrue="1">
      <formula>G16=2</formula>
    </cfRule>
    <cfRule type="expression" dxfId="74" priority="5" stopIfTrue="1">
      <formula>G16=1</formula>
    </cfRule>
    <cfRule type="expression" dxfId="73" priority="8" stopIfTrue="1">
      <formula>G16=3</formula>
    </cfRule>
    <cfRule type="expression" dxfId="72" priority="9" stopIfTrue="1">
      <formula>G16=2</formula>
    </cfRule>
    <cfRule type="expression" dxfId="71" priority="10" stopIfTrue="1">
      <formula>G16=1</formula>
    </cfRule>
  </conditionalFormatting>
  <conditionalFormatting sqref="AJ4:AJ14">
    <cfRule type="expression" dxfId="70" priority="2" stopIfTrue="1">
      <formula>$C$3&lt;11</formula>
    </cfRule>
  </conditionalFormatting>
  <dataValidations count="1">
    <dataValidation type="list" allowBlank="1" showInputMessage="1" showErrorMessage="1" sqref="G4:AN14" xr:uid="{930D047C-B6B7-4201-AB1C-F7EC798174DF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9FFFB-57CF-49AA-9CF8-44900F94E4A5}">
  <sheetPr codeName="Feuil11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69" priority="6" operator="equal">
      <formula>0</formula>
    </cfRule>
    <cfRule type="cellIs" dxfId="68" priority="7" operator="lessThan">
      <formula>0</formula>
    </cfRule>
  </conditionalFormatting>
  <conditionalFormatting sqref="G3:AN3">
    <cfRule type="expression" dxfId="67" priority="1">
      <formula>XFD3&lt;4</formula>
    </cfRule>
  </conditionalFormatting>
  <conditionalFormatting sqref="G20:AN20">
    <cfRule type="expression" dxfId="66" priority="3" stopIfTrue="1">
      <formula>G16=3</formula>
    </cfRule>
    <cfRule type="expression" dxfId="65" priority="4" stopIfTrue="1">
      <formula>G16=2</formula>
    </cfRule>
    <cfRule type="expression" dxfId="64" priority="5" stopIfTrue="1">
      <formula>G16=1</formula>
    </cfRule>
    <cfRule type="expression" dxfId="63" priority="8" stopIfTrue="1">
      <formula>G16=3</formula>
    </cfRule>
    <cfRule type="expression" dxfId="62" priority="9" stopIfTrue="1">
      <formula>G16=2</formula>
    </cfRule>
    <cfRule type="expression" dxfId="61" priority="10" stopIfTrue="1">
      <formula>G16=1</formula>
    </cfRule>
  </conditionalFormatting>
  <conditionalFormatting sqref="AJ4:AJ14">
    <cfRule type="expression" dxfId="60" priority="2" stopIfTrue="1">
      <formula>$C$3&lt;11</formula>
    </cfRule>
  </conditionalFormatting>
  <dataValidations count="1">
    <dataValidation type="list" allowBlank="1" showInputMessage="1" showErrorMessage="1" sqref="G4:AN14" xr:uid="{B0632960-4785-4EA6-90EE-553E07CF0F3D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A9492-2A34-4C46-9E2F-7744E6577ED1}">
  <sheetPr codeName="Feuil12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59" priority="6" operator="equal">
      <formula>0</formula>
    </cfRule>
    <cfRule type="cellIs" dxfId="58" priority="7" operator="lessThan">
      <formula>0</formula>
    </cfRule>
  </conditionalFormatting>
  <conditionalFormatting sqref="G3:AN3">
    <cfRule type="expression" dxfId="57" priority="1">
      <formula>XFD3&lt;4</formula>
    </cfRule>
  </conditionalFormatting>
  <conditionalFormatting sqref="G20:AN20">
    <cfRule type="expression" dxfId="56" priority="3" stopIfTrue="1">
      <formula>G16=3</formula>
    </cfRule>
    <cfRule type="expression" dxfId="55" priority="4" stopIfTrue="1">
      <formula>G16=2</formula>
    </cfRule>
    <cfRule type="expression" dxfId="54" priority="5" stopIfTrue="1">
      <formula>G16=1</formula>
    </cfRule>
    <cfRule type="expression" dxfId="53" priority="8" stopIfTrue="1">
      <formula>G16=3</formula>
    </cfRule>
    <cfRule type="expression" dxfId="52" priority="9" stopIfTrue="1">
      <formula>G16=2</formula>
    </cfRule>
    <cfRule type="expression" dxfId="51" priority="10" stopIfTrue="1">
      <formula>G16=1</formula>
    </cfRule>
  </conditionalFormatting>
  <conditionalFormatting sqref="AJ4:AJ14">
    <cfRule type="expression" dxfId="50" priority="2" stopIfTrue="1">
      <formula>$C$3&lt;11</formula>
    </cfRule>
  </conditionalFormatting>
  <dataValidations count="1">
    <dataValidation type="list" allowBlank="1" showInputMessage="1" showErrorMessage="1" sqref="G4:AN14" xr:uid="{1E4596E3-F41A-42CA-9521-D082995E975D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BBFA5-D632-4DB3-96AD-14B48C4B4D28}">
  <sheetPr codeName="Feuil13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49" priority="6" operator="equal">
      <formula>0</formula>
    </cfRule>
    <cfRule type="cellIs" dxfId="48" priority="7" operator="lessThan">
      <formula>0</formula>
    </cfRule>
  </conditionalFormatting>
  <conditionalFormatting sqref="G3:AN3">
    <cfRule type="expression" dxfId="47" priority="1">
      <formula>XFD3&lt;4</formula>
    </cfRule>
  </conditionalFormatting>
  <conditionalFormatting sqref="G20:AN20">
    <cfRule type="expression" dxfId="46" priority="3" stopIfTrue="1">
      <formula>G16=3</formula>
    </cfRule>
    <cfRule type="expression" dxfId="45" priority="4" stopIfTrue="1">
      <formula>G16=2</formula>
    </cfRule>
    <cfRule type="expression" dxfId="44" priority="5" stopIfTrue="1">
      <formula>G16=1</formula>
    </cfRule>
    <cfRule type="expression" dxfId="43" priority="8" stopIfTrue="1">
      <formula>G16=3</formula>
    </cfRule>
    <cfRule type="expression" dxfId="42" priority="9" stopIfTrue="1">
      <formula>G16=2</formula>
    </cfRule>
    <cfRule type="expression" dxfId="41" priority="10" stopIfTrue="1">
      <formula>G16=1</formula>
    </cfRule>
  </conditionalFormatting>
  <conditionalFormatting sqref="AJ4:AJ14">
    <cfRule type="expression" dxfId="40" priority="2" stopIfTrue="1">
      <formula>$C$3&lt;11</formula>
    </cfRule>
  </conditionalFormatting>
  <dataValidations count="1">
    <dataValidation type="list" allowBlank="1" showInputMessage="1" showErrorMessage="1" sqref="G4:AN14" xr:uid="{F6242C4D-E588-409B-BDAF-3A9DF9CA99F1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9083-2097-4C4D-A3D9-D3974876C005}">
  <sheetPr codeName="Feuil14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39" priority="6" operator="equal">
      <formula>0</formula>
    </cfRule>
    <cfRule type="cellIs" dxfId="38" priority="7" operator="lessThan">
      <formula>0</formula>
    </cfRule>
  </conditionalFormatting>
  <conditionalFormatting sqref="G3:AN3">
    <cfRule type="expression" dxfId="37" priority="1">
      <formula>XFD3&lt;4</formula>
    </cfRule>
  </conditionalFormatting>
  <conditionalFormatting sqref="G20:AN20">
    <cfRule type="expression" dxfId="36" priority="3" stopIfTrue="1">
      <formula>G16=3</formula>
    </cfRule>
    <cfRule type="expression" dxfId="35" priority="4" stopIfTrue="1">
      <formula>G16=2</formula>
    </cfRule>
    <cfRule type="expression" dxfId="34" priority="5" stopIfTrue="1">
      <formula>G16=1</formula>
    </cfRule>
    <cfRule type="expression" dxfId="33" priority="8" stopIfTrue="1">
      <formula>G16=3</formula>
    </cfRule>
    <cfRule type="expression" dxfId="32" priority="9" stopIfTrue="1">
      <formula>G16=2</formula>
    </cfRule>
    <cfRule type="expression" dxfId="31" priority="10" stopIfTrue="1">
      <formula>G16=1</formula>
    </cfRule>
  </conditionalFormatting>
  <conditionalFormatting sqref="AJ4:AJ14">
    <cfRule type="expression" dxfId="30" priority="2" stopIfTrue="1">
      <formula>$C$3&lt;11</formula>
    </cfRule>
  </conditionalFormatting>
  <dataValidations count="1">
    <dataValidation type="list" allowBlank="1" showInputMessage="1" showErrorMessage="1" sqref="G4:AN14" xr:uid="{91813F5B-4019-48A1-BCD1-F1523F8C7AA2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B57AA-82BF-4EDC-A327-BCF5D4422321}">
  <sheetPr codeName="Feuil15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29" priority="6" operator="equal">
      <formula>0</formula>
    </cfRule>
    <cfRule type="cellIs" dxfId="28" priority="7" operator="lessThan">
      <formula>0</formula>
    </cfRule>
  </conditionalFormatting>
  <conditionalFormatting sqref="G3:AN3">
    <cfRule type="expression" dxfId="27" priority="1">
      <formula>XFD3&lt;4</formula>
    </cfRule>
  </conditionalFormatting>
  <conditionalFormatting sqref="G20:AN20">
    <cfRule type="expression" dxfId="26" priority="3" stopIfTrue="1">
      <formula>G16=3</formula>
    </cfRule>
    <cfRule type="expression" dxfId="25" priority="4" stopIfTrue="1">
      <formula>G16=2</formula>
    </cfRule>
    <cfRule type="expression" dxfId="24" priority="5" stopIfTrue="1">
      <formula>G16=1</formula>
    </cfRule>
    <cfRule type="expression" dxfId="23" priority="8" stopIfTrue="1">
      <formula>G16=3</formula>
    </cfRule>
    <cfRule type="expression" dxfId="22" priority="9" stopIfTrue="1">
      <formula>G16=2</formula>
    </cfRule>
    <cfRule type="expression" dxfId="21" priority="10" stopIfTrue="1">
      <formula>G16=1</formula>
    </cfRule>
  </conditionalFormatting>
  <conditionalFormatting sqref="AJ4:AJ14">
    <cfRule type="expression" dxfId="20" priority="2" stopIfTrue="1">
      <formula>$C$3&lt;11</formula>
    </cfRule>
  </conditionalFormatting>
  <dataValidations count="1">
    <dataValidation type="list" allowBlank="1" showInputMessage="1" showErrorMessage="1" sqref="G4:AN14" xr:uid="{00BCBDB8-1594-4D65-BDE7-112F9F662F84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2482-C682-4949-BF51-744C544BD066}">
  <sheetPr codeName="Feuil16">
    <tabColor rgb="FF00B050"/>
    <pageSetUpPr fitToPage="1"/>
  </sheetPr>
  <dimension ref="A1:BG62"/>
  <sheetViews>
    <sheetView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19" priority="6" operator="equal">
      <formula>0</formula>
    </cfRule>
    <cfRule type="cellIs" dxfId="18" priority="7" operator="lessThan">
      <formula>0</formula>
    </cfRule>
  </conditionalFormatting>
  <conditionalFormatting sqref="G3:AN3">
    <cfRule type="expression" dxfId="17" priority="1">
      <formula>XFD3&lt;4</formula>
    </cfRule>
  </conditionalFormatting>
  <conditionalFormatting sqref="G20:AN20">
    <cfRule type="expression" dxfId="16" priority="3" stopIfTrue="1">
      <formula>G16=3</formula>
    </cfRule>
    <cfRule type="expression" dxfId="15" priority="4" stopIfTrue="1">
      <formula>G16=2</formula>
    </cfRule>
    <cfRule type="expression" dxfId="14" priority="5" stopIfTrue="1">
      <formula>G16=1</formula>
    </cfRule>
    <cfRule type="expression" dxfId="13" priority="8" stopIfTrue="1">
      <formula>G16=3</formula>
    </cfRule>
    <cfRule type="expression" dxfId="12" priority="9" stopIfTrue="1">
      <formula>G16=2</formula>
    </cfRule>
    <cfRule type="expression" dxfId="11" priority="10" stopIfTrue="1">
      <formula>G16=1</formula>
    </cfRule>
  </conditionalFormatting>
  <conditionalFormatting sqref="AJ4:AJ14">
    <cfRule type="expression" dxfId="10" priority="2" stopIfTrue="1">
      <formula>$C$3&lt;11</formula>
    </cfRule>
  </conditionalFormatting>
  <dataValidations count="1">
    <dataValidation type="list" allowBlank="1" showInputMessage="1" showErrorMessage="1" sqref="G4:AN14" xr:uid="{F36C324A-3799-4756-B2DA-81965E4EA879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3D3CD-EF46-4FAA-B6F6-1FBD810FE33F}">
  <sheetPr codeName="Feuil17">
    <tabColor rgb="FF00B050"/>
    <pageSetUpPr fitToPage="1"/>
  </sheetPr>
  <dimension ref="A1:BG62"/>
  <sheetViews>
    <sheetView tabSelected="1" workbookViewId="0">
      <selection activeCell="G30" sqref="G30:H30"/>
    </sheetView>
  </sheetViews>
  <sheetFormatPr baseColWidth="10" defaultColWidth="11.44140625" defaultRowHeight="14.4" x14ac:dyDescent="0.3"/>
  <cols>
    <col min="1" max="1" width="2" customWidth="1"/>
    <col min="2" max="2" width="17.44140625" customWidth="1"/>
    <col min="3" max="3" width="8.44140625" customWidth="1"/>
    <col min="4" max="4" width="10.109375" customWidth="1"/>
    <col min="5" max="5" width="9.109375" customWidth="1"/>
    <col min="6" max="6" width="2.44140625" customWidth="1"/>
    <col min="7" max="40" width="8" customWidth="1"/>
    <col min="41" max="41" width="1.6640625" customWidth="1"/>
    <col min="42" max="42" width="10.33203125" customWidth="1"/>
    <col min="43" max="43" width="2" customWidth="1"/>
    <col min="44" max="44" width="3" hidden="1" customWidth="1"/>
    <col min="45" max="53" width="2" hidden="1" customWidth="1"/>
    <col min="54" max="59" width="3" hidden="1" customWidth="1"/>
  </cols>
  <sheetData>
    <row r="1" spans="1:59" ht="24" thickBot="1" x14ac:dyDescent="0.5">
      <c r="A1" s="10"/>
      <c r="B1" s="111" t="s">
        <v>47</v>
      </c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3"/>
      <c r="AS1">
        <v>1</v>
      </c>
      <c r="AT1">
        <v>2</v>
      </c>
      <c r="AU1">
        <v>3</v>
      </c>
      <c r="AV1">
        <v>4</v>
      </c>
      <c r="AW1">
        <v>5</v>
      </c>
      <c r="AX1">
        <v>6</v>
      </c>
      <c r="AY1">
        <v>7</v>
      </c>
      <c r="AZ1">
        <v>8</v>
      </c>
      <c r="BA1">
        <v>9</v>
      </c>
      <c r="BB1">
        <v>10</v>
      </c>
      <c r="BC1">
        <v>11</v>
      </c>
      <c r="BD1">
        <v>12</v>
      </c>
      <c r="BE1">
        <v>13</v>
      </c>
      <c r="BF1">
        <v>14</v>
      </c>
      <c r="BG1">
        <v>15</v>
      </c>
    </row>
    <row r="2" spans="1:59" ht="24" customHeight="1" thickBot="1" x14ac:dyDescent="0.35">
      <c r="A2" s="11"/>
      <c r="B2" s="12" t="s">
        <v>48</v>
      </c>
      <c r="C2" s="124"/>
      <c r="D2" s="124"/>
      <c r="E2" s="125"/>
      <c r="G2" s="12" t="s">
        <v>53</v>
      </c>
      <c r="H2" s="124"/>
      <c r="I2" s="124"/>
      <c r="J2" s="125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L2" s="12" t="s">
        <v>49</v>
      </c>
      <c r="AM2" s="124" t="s">
        <v>87</v>
      </c>
      <c r="AN2" s="124"/>
      <c r="AO2" s="124"/>
      <c r="AP2" s="125"/>
      <c r="AR2">
        <v>0</v>
      </c>
      <c r="AS2" t="str">
        <f>IF($C$3&gt;=AS$1,AR2,"")</f>
        <v/>
      </c>
      <c r="AT2" t="str">
        <f>IF($C$3&gt;=AT$1,AS2,"")</f>
        <v/>
      </c>
      <c r="AU2" t="str">
        <f>IF($C$3&gt;=AU$1,AT2,"")</f>
        <v/>
      </c>
      <c r="AV2" t="str">
        <f t="shared" ref="AV2:BG17" si="0">IF($C$3&gt;=AV$1,AU2,"")</f>
        <v/>
      </c>
      <c r="AW2" t="str">
        <f t="shared" si="0"/>
        <v/>
      </c>
      <c r="AX2" t="str">
        <f t="shared" si="0"/>
        <v/>
      </c>
      <c r="AY2" t="str">
        <f t="shared" si="0"/>
        <v/>
      </c>
      <c r="AZ2" t="str">
        <f t="shared" si="0"/>
        <v/>
      </c>
      <c r="BA2" t="str">
        <f t="shared" si="0"/>
        <v/>
      </c>
      <c r="BB2" t="str">
        <f t="shared" si="0"/>
        <v/>
      </c>
      <c r="BC2" t="str">
        <f t="shared" si="0"/>
        <v/>
      </c>
      <c r="BD2" t="str">
        <f t="shared" si="0"/>
        <v/>
      </c>
      <c r="BE2" t="str">
        <f t="shared" si="0"/>
        <v/>
      </c>
      <c r="BF2" t="str">
        <f t="shared" si="0"/>
        <v/>
      </c>
      <c r="BG2" t="str">
        <f t="shared" si="0"/>
        <v/>
      </c>
    </row>
    <row r="3" spans="1:59" ht="28.8" x14ac:dyDescent="0.3">
      <c r="A3" s="11"/>
      <c r="B3" s="13" t="s">
        <v>33</v>
      </c>
      <c r="C3" s="65"/>
      <c r="D3" s="15" t="s">
        <v>15</v>
      </c>
      <c r="E3" s="15" t="s">
        <v>17</v>
      </c>
      <c r="F3" s="16"/>
      <c r="G3" s="67" t="s">
        <v>131</v>
      </c>
      <c r="H3" s="67" t="s">
        <v>132</v>
      </c>
      <c r="I3" s="62" t="s">
        <v>3</v>
      </c>
      <c r="J3" s="67" t="s">
        <v>133</v>
      </c>
      <c r="K3" s="62" t="s">
        <v>5</v>
      </c>
      <c r="L3" s="62" t="s">
        <v>6</v>
      </c>
      <c r="M3" s="67" t="s">
        <v>130</v>
      </c>
      <c r="N3" s="62" t="s">
        <v>8</v>
      </c>
      <c r="O3" s="62" t="s">
        <v>9</v>
      </c>
      <c r="P3" s="62" t="s">
        <v>10</v>
      </c>
      <c r="Q3" s="62" t="s">
        <v>11</v>
      </c>
      <c r="R3" s="62" t="s">
        <v>12</v>
      </c>
      <c r="S3" s="62" t="s">
        <v>34</v>
      </c>
      <c r="T3" s="62" t="s">
        <v>35</v>
      </c>
      <c r="U3" s="62" t="s">
        <v>36</v>
      </c>
      <c r="V3" s="62" t="s">
        <v>111</v>
      </c>
      <c r="W3" s="62" t="s">
        <v>112</v>
      </c>
      <c r="X3" s="62" t="s">
        <v>113</v>
      </c>
      <c r="Y3" s="62" t="s">
        <v>114</v>
      </c>
      <c r="Z3" s="62" t="s">
        <v>115</v>
      </c>
      <c r="AA3" s="62" t="s">
        <v>116</v>
      </c>
      <c r="AB3" s="62" t="s">
        <v>117</v>
      </c>
      <c r="AC3" s="62" t="s">
        <v>118</v>
      </c>
      <c r="AD3" s="62" t="s">
        <v>119</v>
      </c>
      <c r="AE3" s="62" t="s">
        <v>120</v>
      </c>
      <c r="AF3" s="62" t="s">
        <v>121</v>
      </c>
      <c r="AG3" s="62" t="s">
        <v>122</v>
      </c>
      <c r="AH3" s="62" t="s">
        <v>123</v>
      </c>
      <c r="AI3" s="62" t="s">
        <v>124</v>
      </c>
      <c r="AJ3" s="62" t="s">
        <v>125</v>
      </c>
      <c r="AK3" s="62" t="s">
        <v>126</v>
      </c>
      <c r="AL3" s="62" t="s">
        <v>127</v>
      </c>
      <c r="AM3" s="62" t="s">
        <v>128</v>
      </c>
      <c r="AN3" s="62" t="s">
        <v>129</v>
      </c>
      <c r="AP3" s="19" t="s">
        <v>66</v>
      </c>
      <c r="AR3">
        <v>1</v>
      </c>
      <c r="AS3" t="str">
        <f t="shared" ref="AS3:BG18" si="1">IF($C$3&gt;=AS$1,AR3,"")</f>
        <v/>
      </c>
      <c r="AT3" t="str">
        <f t="shared" si="1"/>
        <v/>
      </c>
      <c r="AU3" t="str">
        <f t="shared" si="1"/>
        <v/>
      </c>
      <c r="AV3" t="str">
        <f t="shared" si="1"/>
        <v/>
      </c>
      <c r="AW3" t="str">
        <f t="shared" si="1"/>
        <v/>
      </c>
      <c r="AX3" t="str">
        <f t="shared" si="1"/>
        <v/>
      </c>
      <c r="AY3" t="str">
        <f t="shared" si="1"/>
        <v/>
      </c>
      <c r="AZ3" t="str">
        <f t="shared" si="1"/>
        <v/>
      </c>
      <c r="BA3" t="str">
        <f t="shared" si="1"/>
        <v/>
      </c>
      <c r="BB3" t="str">
        <f t="shared" si="1"/>
        <v/>
      </c>
      <c r="BC3" t="str">
        <f t="shared" si="1"/>
        <v/>
      </c>
      <c r="BD3" t="str">
        <f t="shared" si="1"/>
        <v/>
      </c>
      <c r="BE3" t="str">
        <f t="shared" si="1"/>
        <v/>
      </c>
      <c r="BF3" t="str">
        <f t="shared" si="1"/>
        <v/>
      </c>
      <c r="BG3" t="str">
        <f t="shared" si="0"/>
        <v/>
      </c>
    </row>
    <row r="4" spans="1:59" x14ac:dyDescent="0.3">
      <c r="A4" s="11"/>
      <c r="B4" s="59"/>
      <c r="C4" s="20" t="s">
        <v>27</v>
      </c>
      <c r="D4" s="61"/>
      <c r="E4" s="22">
        <f>D4-SUM(G4:AN4)</f>
        <v>0</v>
      </c>
      <c r="F4" s="16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4"/>
      <c r="AL4" s="61"/>
      <c r="AM4" s="61"/>
      <c r="AN4" s="61"/>
      <c r="AP4" s="24">
        <f>SUM(D4:D7)</f>
        <v>0</v>
      </c>
      <c r="AR4">
        <v>2</v>
      </c>
      <c r="AS4" t="str">
        <f t="shared" si="1"/>
        <v/>
      </c>
      <c r="AT4" t="str">
        <f t="shared" si="1"/>
        <v/>
      </c>
      <c r="AU4" t="str">
        <f t="shared" si="1"/>
        <v/>
      </c>
      <c r="AV4" t="str">
        <f t="shared" si="1"/>
        <v/>
      </c>
      <c r="AW4" t="str">
        <f t="shared" si="1"/>
        <v/>
      </c>
      <c r="AX4" t="str">
        <f t="shared" si="1"/>
        <v/>
      </c>
      <c r="AY4" t="str">
        <f t="shared" si="1"/>
        <v/>
      </c>
      <c r="AZ4" t="str">
        <f t="shared" si="1"/>
        <v/>
      </c>
      <c r="BA4" t="str">
        <f t="shared" si="1"/>
        <v/>
      </c>
      <c r="BB4" t="str">
        <f t="shared" si="1"/>
        <v/>
      </c>
      <c r="BC4" t="str">
        <f t="shared" si="1"/>
        <v/>
      </c>
      <c r="BD4" t="str">
        <f t="shared" si="1"/>
        <v/>
      </c>
      <c r="BE4" t="str">
        <f t="shared" si="1"/>
        <v/>
      </c>
      <c r="BF4" t="str">
        <f t="shared" si="1"/>
        <v/>
      </c>
      <c r="BG4" t="str">
        <f t="shared" si="0"/>
        <v/>
      </c>
    </row>
    <row r="5" spans="1:59" x14ac:dyDescent="0.3">
      <c r="A5" s="11"/>
      <c r="B5" s="60"/>
      <c r="C5" s="20" t="s">
        <v>26</v>
      </c>
      <c r="D5" s="61"/>
      <c r="E5" s="22">
        <f t="shared" ref="E5:E14" si="2">D5-SUM(G5:AN5)</f>
        <v>0</v>
      </c>
      <c r="F5" s="16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4"/>
      <c r="AL5" s="61"/>
      <c r="AM5" s="61"/>
      <c r="AN5" s="61"/>
      <c r="AP5" s="25"/>
      <c r="AR5">
        <v>3</v>
      </c>
      <c r="AS5" t="str">
        <f t="shared" si="1"/>
        <v/>
      </c>
      <c r="AT5" t="str">
        <f t="shared" si="1"/>
        <v/>
      </c>
      <c r="AU5" t="str">
        <f t="shared" si="1"/>
        <v/>
      </c>
      <c r="AV5" t="str">
        <f t="shared" si="1"/>
        <v/>
      </c>
      <c r="AW5" t="str">
        <f t="shared" si="1"/>
        <v/>
      </c>
      <c r="AX5" t="str">
        <f t="shared" si="1"/>
        <v/>
      </c>
      <c r="AY5" t="str">
        <f t="shared" si="1"/>
        <v/>
      </c>
      <c r="AZ5" t="str">
        <f t="shared" si="1"/>
        <v/>
      </c>
      <c r="BA5" t="str">
        <f t="shared" si="1"/>
        <v/>
      </c>
      <c r="BB5" t="str">
        <f t="shared" si="1"/>
        <v/>
      </c>
      <c r="BC5" t="str">
        <f t="shared" si="1"/>
        <v/>
      </c>
      <c r="BD5" t="str">
        <f t="shared" si="1"/>
        <v/>
      </c>
      <c r="BE5" t="str">
        <f t="shared" si="1"/>
        <v/>
      </c>
      <c r="BF5" t="str">
        <f t="shared" si="1"/>
        <v/>
      </c>
      <c r="BG5" t="str">
        <f t="shared" si="0"/>
        <v/>
      </c>
    </row>
    <row r="6" spans="1:59" x14ac:dyDescent="0.3">
      <c r="A6" s="11"/>
      <c r="B6" s="60"/>
      <c r="C6" s="20" t="s">
        <v>25</v>
      </c>
      <c r="D6" s="61"/>
      <c r="E6" s="22">
        <f t="shared" si="2"/>
        <v>0</v>
      </c>
      <c r="F6" s="16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  <c r="AF6" s="61"/>
      <c r="AG6" s="61"/>
      <c r="AH6" s="61"/>
      <c r="AI6" s="61"/>
      <c r="AJ6" s="61"/>
      <c r="AK6" s="64"/>
      <c r="AL6" s="61"/>
      <c r="AM6" s="61"/>
      <c r="AN6" s="61"/>
      <c r="AP6" s="26" t="s">
        <v>52</v>
      </c>
      <c r="AR6">
        <v>4</v>
      </c>
      <c r="AS6" t="str">
        <f t="shared" si="1"/>
        <v/>
      </c>
      <c r="AT6" t="str">
        <f t="shared" si="1"/>
        <v/>
      </c>
      <c r="AU6" t="str">
        <f t="shared" si="1"/>
        <v/>
      </c>
      <c r="AV6" t="str">
        <f t="shared" si="1"/>
        <v/>
      </c>
      <c r="AW6" t="str">
        <f t="shared" si="1"/>
        <v/>
      </c>
      <c r="AX6" t="str">
        <f t="shared" si="1"/>
        <v/>
      </c>
      <c r="AY6" t="str">
        <f t="shared" si="1"/>
        <v/>
      </c>
      <c r="AZ6" t="str">
        <f t="shared" si="1"/>
        <v/>
      </c>
      <c r="BA6" t="str">
        <f t="shared" si="1"/>
        <v/>
      </c>
      <c r="BB6" t="str">
        <f t="shared" si="1"/>
        <v/>
      </c>
      <c r="BC6" t="str">
        <f t="shared" si="1"/>
        <v/>
      </c>
      <c r="BD6" t="str">
        <f t="shared" si="1"/>
        <v/>
      </c>
      <c r="BE6" t="str">
        <f t="shared" si="1"/>
        <v/>
      </c>
      <c r="BF6" t="str">
        <f t="shared" si="1"/>
        <v/>
      </c>
      <c r="BG6" t="str">
        <f t="shared" si="0"/>
        <v/>
      </c>
    </row>
    <row r="7" spans="1:59" x14ac:dyDescent="0.3">
      <c r="A7" s="11"/>
      <c r="B7" s="60"/>
      <c r="C7" s="20" t="s">
        <v>24</v>
      </c>
      <c r="D7" s="61"/>
      <c r="E7" s="22">
        <f t="shared" si="2"/>
        <v>0</v>
      </c>
      <c r="F7" s="16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  <c r="AF7" s="61"/>
      <c r="AG7" s="61"/>
      <c r="AH7" s="61"/>
      <c r="AI7" s="61"/>
      <c r="AJ7" s="61"/>
      <c r="AK7" s="64"/>
      <c r="AL7" s="61"/>
      <c r="AM7" s="61"/>
      <c r="AN7" s="61"/>
      <c r="AP7" s="27">
        <f>SUM(D8:D14)</f>
        <v>0</v>
      </c>
      <c r="AR7">
        <v>5</v>
      </c>
      <c r="AS7" t="str">
        <f t="shared" si="1"/>
        <v/>
      </c>
      <c r="AT7" t="str">
        <f t="shared" si="1"/>
        <v/>
      </c>
      <c r="AU7" t="str">
        <f t="shared" si="1"/>
        <v/>
      </c>
      <c r="AV7" t="str">
        <f t="shared" si="1"/>
        <v/>
      </c>
      <c r="AW7" t="str">
        <f t="shared" si="1"/>
        <v/>
      </c>
      <c r="AX7" t="str">
        <f t="shared" si="1"/>
        <v/>
      </c>
      <c r="AY7" t="str">
        <f t="shared" si="1"/>
        <v/>
      </c>
      <c r="AZ7" t="str">
        <f t="shared" si="1"/>
        <v/>
      </c>
      <c r="BA7" t="str">
        <f t="shared" si="1"/>
        <v/>
      </c>
      <c r="BB7" t="str">
        <f t="shared" si="1"/>
        <v/>
      </c>
      <c r="BC7" t="str">
        <f t="shared" si="1"/>
        <v/>
      </c>
      <c r="BD7" t="str">
        <f t="shared" si="1"/>
        <v/>
      </c>
      <c r="BE7" t="str">
        <f t="shared" si="1"/>
        <v/>
      </c>
      <c r="BF7" t="str">
        <f t="shared" si="1"/>
        <v/>
      </c>
      <c r="BG7" t="str">
        <f t="shared" si="0"/>
        <v/>
      </c>
    </row>
    <row r="8" spans="1:59" x14ac:dyDescent="0.3">
      <c r="A8" s="11"/>
      <c r="B8" s="60"/>
      <c r="C8" s="20" t="s">
        <v>23</v>
      </c>
      <c r="D8" s="61"/>
      <c r="E8" s="22">
        <f t="shared" si="2"/>
        <v>0</v>
      </c>
      <c r="F8" s="16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  <c r="AF8" s="61"/>
      <c r="AG8" s="61"/>
      <c r="AH8" s="61"/>
      <c r="AI8" s="61"/>
      <c r="AJ8" s="61"/>
      <c r="AK8" s="64"/>
      <c r="AL8" s="61"/>
      <c r="AM8" s="61"/>
      <c r="AN8" s="61"/>
      <c r="AP8" s="26" t="s">
        <v>50</v>
      </c>
      <c r="AR8">
        <v>6</v>
      </c>
      <c r="AS8" t="str">
        <f t="shared" si="1"/>
        <v/>
      </c>
      <c r="AT8" t="str">
        <f t="shared" si="1"/>
        <v/>
      </c>
      <c r="AU8" t="str">
        <f t="shared" si="1"/>
        <v/>
      </c>
      <c r="AV8" t="str">
        <f t="shared" si="1"/>
        <v/>
      </c>
      <c r="AW8" t="str">
        <f t="shared" si="1"/>
        <v/>
      </c>
      <c r="AX8" t="str">
        <f t="shared" si="1"/>
        <v/>
      </c>
      <c r="AY8" t="str">
        <f t="shared" si="1"/>
        <v/>
      </c>
      <c r="AZ8" t="str">
        <f t="shared" si="1"/>
        <v/>
      </c>
      <c r="BA8" t="str">
        <f t="shared" si="1"/>
        <v/>
      </c>
      <c r="BB8" t="str">
        <f t="shared" si="1"/>
        <v/>
      </c>
      <c r="BC8" t="str">
        <f t="shared" si="1"/>
        <v/>
      </c>
      <c r="BD8" t="str">
        <f t="shared" si="1"/>
        <v/>
      </c>
      <c r="BE8" t="str">
        <f t="shared" si="1"/>
        <v/>
      </c>
      <c r="BF8" t="str">
        <f t="shared" si="1"/>
        <v/>
      </c>
      <c r="BG8" t="str">
        <f t="shared" si="0"/>
        <v/>
      </c>
    </row>
    <row r="9" spans="1:59" x14ac:dyDescent="0.3">
      <c r="A9" s="11"/>
      <c r="B9" s="60"/>
      <c r="C9" s="20" t="s">
        <v>22</v>
      </c>
      <c r="D9" s="61"/>
      <c r="E9" s="22">
        <f t="shared" si="2"/>
        <v>0</v>
      </c>
      <c r="F9" s="16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  <c r="AF9" s="61"/>
      <c r="AG9" s="61"/>
      <c r="AH9" s="61"/>
      <c r="AI9" s="61"/>
      <c r="AJ9" s="61"/>
      <c r="AK9" s="64"/>
      <c r="AL9" s="61"/>
      <c r="AM9" s="61"/>
      <c r="AN9" s="61"/>
      <c r="AP9" s="26">
        <f>SUM(D8:D9)</f>
        <v>0</v>
      </c>
      <c r="AR9">
        <v>7</v>
      </c>
      <c r="AS9" t="str">
        <f t="shared" si="1"/>
        <v/>
      </c>
      <c r="AT9" t="str">
        <f t="shared" si="1"/>
        <v/>
      </c>
      <c r="AU9" t="str">
        <f t="shared" si="1"/>
        <v/>
      </c>
      <c r="AV9" t="str">
        <f t="shared" si="1"/>
        <v/>
      </c>
      <c r="AW9" t="str">
        <f t="shared" si="1"/>
        <v/>
      </c>
      <c r="AX9" t="str">
        <f t="shared" si="1"/>
        <v/>
      </c>
      <c r="AY9" t="str">
        <f t="shared" si="1"/>
        <v/>
      </c>
      <c r="AZ9" t="str">
        <f t="shared" si="1"/>
        <v/>
      </c>
      <c r="BA9" t="str">
        <f t="shared" si="1"/>
        <v/>
      </c>
      <c r="BB9" t="str">
        <f t="shared" si="1"/>
        <v/>
      </c>
      <c r="BC9" t="str">
        <f t="shared" si="1"/>
        <v/>
      </c>
      <c r="BD9" t="str">
        <f t="shared" si="1"/>
        <v/>
      </c>
      <c r="BE9" t="str">
        <f t="shared" si="1"/>
        <v/>
      </c>
      <c r="BF9" t="str">
        <f t="shared" si="1"/>
        <v/>
      </c>
      <c r="BG9" t="str">
        <f t="shared" si="0"/>
        <v/>
      </c>
    </row>
    <row r="10" spans="1:59" x14ac:dyDescent="0.3">
      <c r="A10" s="11"/>
      <c r="B10" s="60"/>
      <c r="C10" s="20" t="s">
        <v>21</v>
      </c>
      <c r="D10" s="61"/>
      <c r="E10" s="22">
        <f t="shared" si="2"/>
        <v>0</v>
      </c>
      <c r="F10" s="16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4"/>
      <c r="AL10" s="61"/>
      <c r="AM10" s="61"/>
      <c r="AN10" s="61"/>
      <c r="AP10" s="26" t="s">
        <v>51</v>
      </c>
      <c r="AR10">
        <v>8</v>
      </c>
      <c r="AS10" t="str">
        <f t="shared" si="1"/>
        <v/>
      </c>
      <c r="AT10" t="str">
        <f t="shared" si="1"/>
        <v/>
      </c>
      <c r="AU10" t="str">
        <f t="shared" si="1"/>
        <v/>
      </c>
      <c r="AV10" t="str">
        <f t="shared" si="1"/>
        <v/>
      </c>
      <c r="AW10" t="str">
        <f t="shared" si="1"/>
        <v/>
      </c>
      <c r="AX10" t="str">
        <f t="shared" si="1"/>
        <v/>
      </c>
      <c r="AY10" t="str">
        <f t="shared" si="1"/>
        <v/>
      </c>
      <c r="AZ10" t="str">
        <f t="shared" si="1"/>
        <v/>
      </c>
      <c r="BA10" t="str">
        <f t="shared" si="1"/>
        <v/>
      </c>
      <c r="BB10" t="str">
        <f t="shared" si="1"/>
        <v/>
      </c>
      <c r="BC10" t="str">
        <f t="shared" si="1"/>
        <v/>
      </c>
      <c r="BD10" t="str">
        <f t="shared" si="1"/>
        <v/>
      </c>
      <c r="BE10" t="str">
        <f t="shared" si="1"/>
        <v/>
      </c>
      <c r="BF10" t="str">
        <f t="shared" si="1"/>
        <v/>
      </c>
      <c r="BG10" t="str">
        <f t="shared" si="0"/>
        <v/>
      </c>
    </row>
    <row r="11" spans="1:59" x14ac:dyDescent="0.3">
      <c r="A11" s="11"/>
      <c r="B11" s="60"/>
      <c r="C11" s="20" t="s">
        <v>20</v>
      </c>
      <c r="D11" s="61"/>
      <c r="E11" s="22">
        <f t="shared" si="2"/>
        <v>0</v>
      </c>
      <c r="F11" s="16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P11" s="28">
        <f>SUM(D10:D14)</f>
        <v>0</v>
      </c>
      <c r="AR11">
        <v>9</v>
      </c>
      <c r="AS11" t="str">
        <f t="shared" si="1"/>
        <v/>
      </c>
      <c r="AT11" t="str">
        <f t="shared" si="1"/>
        <v/>
      </c>
      <c r="AU11" t="str">
        <f t="shared" si="1"/>
        <v/>
      </c>
      <c r="AV11" t="str">
        <f t="shared" si="1"/>
        <v/>
      </c>
      <c r="AW11" t="str">
        <f t="shared" si="1"/>
        <v/>
      </c>
      <c r="AX11" t="str">
        <f t="shared" si="1"/>
        <v/>
      </c>
      <c r="AY11" t="str">
        <f t="shared" si="1"/>
        <v/>
      </c>
      <c r="AZ11" t="str">
        <f t="shared" si="1"/>
        <v/>
      </c>
      <c r="BA11" t="str">
        <f t="shared" si="1"/>
        <v/>
      </c>
      <c r="BB11" t="str">
        <f t="shared" si="1"/>
        <v/>
      </c>
      <c r="BC11" t="str">
        <f t="shared" si="1"/>
        <v/>
      </c>
      <c r="BD11" t="str">
        <f t="shared" si="1"/>
        <v/>
      </c>
      <c r="BE11" t="str">
        <f t="shared" si="1"/>
        <v/>
      </c>
      <c r="BF11" t="str">
        <f t="shared" si="1"/>
        <v/>
      </c>
      <c r="BG11" t="str">
        <f t="shared" si="0"/>
        <v/>
      </c>
    </row>
    <row r="12" spans="1:59" x14ac:dyDescent="0.3">
      <c r="A12" s="11"/>
      <c r="B12" s="60"/>
      <c r="C12" s="20" t="s">
        <v>19</v>
      </c>
      <c r="D12" s="61"/>
      <c r="E12" s="22">
        <f t="shared" si="2"/>
        <v>0</v>
      </c>
      <c r="F12" s="16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P12" s="29"/>
      <c r="AR12">
        <v>10</v>
      </c>
      <c r="AS12" t="str">
        <f t="shared" si="1"/>
        <v/>
      </c>
      <c r="AT12" t="str">
        <f t="shared" si="1"/>
        <v/>
      </c>
      <c r="AU12" t="str">
        <f t="shared" si="1"/>
        <v/>
      </c>
      <c r="AV12" t="str">
        <f t="shared" si="1"/>
        <v/>
      </c>
      <c r="AW12" t="str">
        <f t="shared" si="1"/>
        <v/>
      </c>
      <c r="AX12" t="str">
        <f t="shared" si="1"/>
        <v/>
      </c>
      <c r="AY12" t="str">
        <f t="shared" si="1"/>
        <v/>
      </c>
      <c r="AZ12" t="str">
        <f t="shared" si="1"/>
        <v/>
      </c>
      <c r="BA12" t="str">
        <f t="shared" si="1"/>
        <v/>
      </c>
      <c r="BB12" t="str">
        <f t="shared" si="1"/>
        <v/>
      </c>
      <c r="BC12" t="str">
        <f t="shared" si="1"/>
        <v/>
      </c>
      <c r="BD12" t="str">
        <f t="shared" si="1"/>
        <v/>
      </c>
      <c r="BE12" t="str">
        <f t="shared" si="1"/>
        <v/>
      </c>
      <c r="BF12" t="str">
        <f t="shared" si="1"/>
        <v/>
      </c>
      <c r="BG12" t="str">
        <f t="shared" si="0"/>
        <v/>
      </c>
    </row>
    <row r="13" spans="1:59" x14ac:dyDescent="0.3">
      <c r="A13" s="11"/>
      <c r="B13" s="60"/>
      <c r="C13" s="30" t="s">
        <v>101</v>
      </c>
      <c r="D13" s="61"/>
      <c r="E13" s="22">
        <f t="shared" si="2"/>
        <v>0</v>
      </c>
      <c r="F13" s="16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1"/>
      <c r="AJ13" s="61"/>
      <c r="AK13" s="61"/>
      <c r="AL13" s="61"/>
      <c r="AM13" s="61"/>
      <c r="AN13" s="61"/>
      <c r="AP13" s="31" t="s">
        <v>65</v>
      </c>
      <c r="AR13">
        <v>11</v>
      </c>
      <c r="AS13" t="str">
        <f t="shared" si="1"/>
        <v/>
      </c>
      <c r="AT13" t="str">
        <f t="shared" si="1"/>
        <v/>
      </c>
      <c r="AU13" t="str">
        <f t="shared" si="1"/>
        <v/>
      </c>
      <c r="AV13" t="str">
        <f t="shared" si="1"/>
        <v/>
      </c>
      <c r="AW13" t="str">
        <f t="shared" si="1"/>
        <v/>
      </c>
      <c r="AX13" t="str">
        <f t="shared" si="1"/>
        <v/>
      </c>
      <c r="AY13" t="str">
        <f t="shared" si="1"/>
        <v/>
      </c>
      <c r="AZ13" t="str">
        <f t="shared" si="1"/>
        <v/>
      </c>
      <c r="BA13" t="str">
        <f t="shared" si="1"/>
        <v/>
      </c>
      <c r="BB13" t="str">
        <f t="shared" si="1"/>
        <v/>
      </c>
      <c r="BC13" t="str">
        <f t="shared" si="1"/>
        <v/>
      </c>
      <c r="BD13" t="str">
        <f t="shared" si="1"/>
        <v/>
      </c>
      <c r="BE13" t="str">
        <f t="shared" si="1"/>
        <v/>
      </c>
      <c r="BF13" t="str">
        <f t="shared" si="1"/>
        <v/>
      </c>
      <c r="BG13" t="str">
        <f t="shared" si="0"/>
        <v/>
      </c>
    </row>
    <row r="14" spans="1:59" ht="15" thickBot="1" x14ac:dyDescent="0.35">
      <c r="A14" s="11"/>
      <c r="B14" s="60"/>
      <c r="C14" s="30"/>
      <c r="D14" s="61"/>
      <c r="E14" s="22">
        <f t="shared" si="2"/>
        <v>0</v>
      </c>
      <c r="F14" s="16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1"/>
      <c r="AJ14" s="61"/>
      <c r="AK14" s="61"/>
      <c r="AL14" s="61"/>
      <c r="AM14" s="61"/>
      <c r="AN14" s="61"/>
      <c r="AP14" s="32">
        <f>SUM(D13:D14)</f>
        <v>0</v>
      </c>
      <c r="AR14">
        <v>12</v>
      </c>
      <c r="AS14" t="str">
        <f t="shared" si="1"/>
        <v/>
      </c>
      <c r="AT14" t="str">
        <f t="shared" si="1"/>
        <v/>
      </c>
      <c r="AU14" t="str">
        <f t="shared" si="1"/>
        <v/>
      </c>
      <c r="AV14" t="str">
        <f t="shared" si="1"/>
        <v/>
      </c>
      <c r="AW14" t="str">
        <f t="shared" si="1"/>
        <v/>
      </c>
      <c r="AX14" t="str">
        <f t="shared" si="1"/>
        <v/>
      </c>
      <c r="AY14" t="str">
        <f t="shared" si="1"/>
        <v/>
      </c>
      <c r="AZ14" t="str">
        <f t="shared" si="1"/>
        <v/>
      </c>
      <c r="BA14" t="str">
        <f t="shared" si="1"/>
        <v/>
      </c>
      <c r="BB14" t="str">
        <f t="shared" si="1"/>
        <v/>
      </c>
      <c r="BC14" t="str">
        <f t="shared" si="1"/>
        <v/>
      </c>
      <c r="BD14" t="str">
        <f t="shared" si="1"/>
        <v/>
      </c>
      <c r="BE14" t="str">
        <f t="shared" si="1"/>
        <v/>
      </c>
      <c r="BF14" t="str">
        <f t="shared" si="1"/>
        <v/>
      </c>
      <c r="BG14" t="str">
        <f t="shared" si="0"/>
        <v/>
      </c>
    </row>
    <row r="15" spans="1:59" ht="15" hidden="1" thickBot="1" x14ac:dyDescent="0.35">
      <c r="A15" s="11"/>
      <c r="B15" s="11"/>
      <c r="E15" s="33"/>
      <c r="F15" s="16"/>
      <c r="G15" t="s">
        <v>100</v>
      </c>
      <c r="AP15" s="33"/>
      <c r="AR15">
        <v>13</v>
      </c>
      <c r="AS15" t="str">
        <f t="shared" si="1"/>
        <v/>
      </c>
      <c r="AT15" t="str">
        <f t="shared" si="1"/>
        <v/>
      </c>
      <c r="AU15" t="str">
        <f t="shared" si="1"/>
        <v/>
      </c>
      <c r="AV15" t="str">
        <f t="shared" si="1"/>
        <v/>
      </c>
      <c r="AW15" t="str">
        <f t="shared" si="1"/>
        <v/>
      </c>
      <c r="AX15" t="str">
        <f t="shared" si="1"/>
        <v/>
      </c>
      <c r="AY15" t="str">
        <f t="shared" si="1"/>
        <v/>
      </c>
      <c r="AZ15" t="str">
        <f t="shared" si="1"/>
        <v/>
      </c>
      <c r="BA15" t="str">
        <f t="shared" si="1"/>
        <v/>
      </c>
      <c r="BB15" t="str">
        <f t="shared" si="1"/>
        <v/>
      </c>
      <c r="BC15" t="str">
        <f t="shared" si="1"/>
        <v/>
      </c>
      <c r="BD15" t="str">
        <f t="shared" si="1"/>
        <v/>
      </c>
      <c r="BE15" t="str">
        <f t="shared" si="1"/>
        <v/>
      </c>
      <c r="BF15" t="str">
        <f t="shared" si="1"/>
        <v/>
      </c>
      <c r="BG15" t="str">
        <f t="shared" si="0"/>
        <v/>
      </c>
    </row>
    <row r="16" spans="1:59" ht="15" hidden="1" thickBot="1" x14ac:dyDescent="0.35">
      <c r="A16" s="11"/>
      <c r="B16" s="11" t="s">
        <v>0</v>
      </c>
      <c r="D16" s="34"/>
      <c r="E16" s="34"/>
      <c r="G16">
        <f>COUNTA(G4:G14)</f>
        <v>0</v>
      </c>
      <c r="H16">
        <f t="shared" ref="H16:AN16" si="3">COUNTA(H4:H14)</f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  <c r="AL16">
        <f t="shared" si="3"/>
        <v>0</v>
      </c>
      <c r="AM16">
        <f t="shared" si="3"/>
        <v>0</v>
      </c>
      <c r="AN16">
        <f t="shared" si="3"/>
        <v>0</v>
      </c>
      <c r="AP16" s="33"/>
      <c r="AR16">
        <v>14</v>
      </c>
      <c r="AS16" t="str">
        <f t="shared" si="1"/>
        <v/>
      </c>
      <c r="AT16" t="str">
        <f t="shared" si="1"/>
        <v/>
      </c>
      <c r="AU16" t="str">
        <f t="shared" si="1"/>
        <v/>
      </c>
      <c r="AV16" t="str">
        <f t="shared" si="1"/>
        <v/>
      </c>
      <c r="AW16" t="str">
        <f t="shared" si="1"/>
        <v/>
      </c>
      <c r="AX16" t="str">
        <f t="shared" si="1"/>
        <v/>
      </c>
      <c r="AY16" t="str">
        <f t="shared" si="1"/>
        <v/>
      </c>
      <c r="AZ16" t="str">
        <f t="shared" si="1"/>
        <v/>
      </c>
      <c r="BA16" t="str">
        <f t="shared" si="1"/>
        <v/>
      </c>
      <c r="BB16" t="str">
        <f t="shared" si="1"/>
        <v/>
      </c>
      <c r="BC16" t="str">
        <f t="shared" si="1"/>
        <v/>
      </c>
      <c r="BD16" t="str">
        <f t="shared" si="1"/>
        <v/>
      </c>
      <c r="BE16" t="str">
        <f t="shared" si="1"/>
        <v/>
      </c>
      <c r="BF16" t="str">
        <f t="shared" si="1"/>
        <v/>
      </c>
      <c r="BG16" t="str">
        <f t="shared" si="0"/>
        <v/>
      </c>
    </row>
    <row r="17" spans="1:59" ht="15" hidden="1" thickBot="1" x14ac:dyDescent="0.35">
      <c r="A17" s="11"/>
      <c r="B17" s="11"/>
      <c r="D17" s="34"/>
      <c r="E17" s="34"/>
      <c r="G17">
        <v>1</v>
      </c>
      <c r="H17">
        <v>2</v>
      </c>
      <c r="I17">
        <v>3</v>
      </c>
      <c r="J17">
        <v>4</v>
      </c>
      <c r="K17">
        <v>5</v>
      </c>
      <c r="L17">
        <v>6</v>
      </c>
      <c r="M17">
        <v>7</v>
      </c>
      <c r="N17">
        <v>8</v>
      </c>
      <c r="O17">
        <v>9</v>
      </c>
      <c r="P17">
        <v>10</v>
      </c>
      <c r="Q17">
        <v>11</v>
      </c>
      <c r="R17">
        <v>12</v>
      </c>
      <c r="S17">
        <v>13</v>
      </c>
      <c r="T17">
        <v>14</v>
      </c>
      <c r="U17">
        <v>15</v>
      </c>
      <c r="V17">
        <v>16</v>
      </c>
      <c r="W17">
        <v>17</v>
      </c>
      <c r="X17">
        <v>18</v>
      </c>
      <c r="Y17">
        <v>19</v>
      </c>
      <c r="Z17">
        <v>20</v>
      </c>
      <c r="AA17">
        <v>21</v>
      </c>
      <c r="AB17">
        <v>22</v>
      </c>
      <c r="AC17">
        <v>23</v>
      </c>
      <c r="AD17">
        <v>24</v>
      </c>
      <c r="AE17">
        <v>25</v>
      </c>
      <c r="AF17">
        <v>26</v>
      </c>
      <c r="AG17">
        <v>27</v>
      </c>
      <c r="AH17">
        <v>28</v>
      </c>
      <c r="AI17">
        <v>29</v>
      </c>
      <c r="AJ17">
        <v>30</v>
      </c>
      <c r="AK17">
        <v>31</v>
      </c>
      <c r="AL17">
        <v>32</v>
      </c>
      <c r="AM17">
        <v>33</v>
      </c>
      <c r="AN17">
        <v>34</v>
      </c>
      <c r="AP17" s="33"/>
      <c r="AR17">
        <v>15</v>
      </c>
      <c r="AS17" t="str">
        <f t="shared" si="1"/>
        <v/>
      </c>
      <c r="AT17" t="str">
        <f t="shared" si="1"/>
        <v/>
      </c>
      <c r="AU17" t="str">
        <f t="shared" si="1"/>
        <v/>
      </c>
      <c r="AV17" t="str">
        <f t="shared" si="1"/>
        <v/>
      </c>
      <c r="AW17" t="str">
        <f t="shared" si="1"/>
        <v/>
      </c>
      <c r="AX17" t="str">
        <f t="shared" si="1"/>
        <v/>
      </c>
      <c r="AY17" t="str">
        <f t="shared" si="1"/>
        <v/>
      </c>
      <c r="AZ17" t="str">
        <f t="shared" si="1"/>
        <v/>
      </c>
      <c r="BA17" t="str">
        <f t="shared" si="1"/>
        <v/>
      </c>
      <c r="BB17" t="str">
        <f t="shared" si="1"/>
        <v/>
      </c>
      <c r="BC17" t="str">
        <f t="shared" si="1"/>
        <v/>
      </c>
      <c r="BD17" t="str">
        <f t="shared" si="1"/>
        <v/>
      </c>
      <c r="BE17" t="str">
        <f t="shared" si="1"/>
        <v/>
      </c>
      <c r="BF17" t="str">
        <f t="shared" si="1"/>
        <v/>
      </c>
      <c r="BG17" t="str">
        <f t="shared" si="0"/>
        <v/>
      </c>
    </row>
    <row r="18" spans="1:59" ht="15" thickBot="1" x14ac:dyDescent="0.35">
      <c r="A18" s="11"/>
      <c r="B18" s="35"/>
      <c r="C18" s="36" t="s">
        <v>16</v>
      </c>
      <c r="D18" s="37">
        <f>SUM(D4:D14)</f>
        <v>0</v>
      </c>
      <c r="E18" s="37">
        <f>SUM(E4:E14)</f>
        <v>0</v>
      </c>
      <c r="F18" s="16"/>
      <c r="G18" s="116" t="s">
        <v>43</v>
      </c>
      <c r="H18" s="117"/>
      <c r="I18" s="38" t="str">
        <f>IF(C3=0,"",COUNTIF(PlageProfils,1))</f>
        <v/>
      </c>
      <c r="J18" s="118" t="s">
        <v>44</v>
      </c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39" t="str">
        <f>IF(C3=0,"",COUNTIF(PlageProfils,2))</f>
        <v/>
      </c>
      <c r="AF18" s="120" t="s">
        <v>45</v>
      </c>
      <c r="AG18" s="121"/>
      <c r="AH18" s="40" t="str">
        <f>IF(C3=0,"",COUNTIF(PlageProfils,3))</f>
        <v/>
      </c>
      <c r="AI18" s="122" t="s">
        <v>46</v>
      </c>
      <c r="AJ18" s="123"/>
      <c r="AK18" s="41" t="str">
        <f>IF(C3=0,"",C3-(I18+AE18+AH18))</f>
        <v/>
      </c>
      <c r="AP18" s="33"/>
      <c r="AR18">
        <v>16</v>
      </c>
      <c r="AS18" t="str">
        <f t="shared" si="1"/>
        <v/>
      </c>
      <c r="AT18" t="str">
        <f t="shared" si="1"/>
        <v/>
      </c>
      <c r="AU18" t="str">
        <f t="shared" si="1"/>
        <v/>
      </c>
      <c r="AV18" t="str">
        <f t="shared" si="1"/>
        <v/>
      </c>
      <c r="AW18" t="str">
        <f t="shared" si="1"/>
        <v/>
      </c>
      <c r="AX18" t="str">
        <f t="shared" si="1"/>
        <v/>
      </c>
      <c r="AY18" t="str">
        <f t="shared" si="1"/>
        <v/>
      </c>
      <c r="AZ18" t="str">
        <f t="shared" si="1"/>
        <v/>
      </c>
      <c r="BA18" t="str">
        <f t="shared" si="1"/>
        <v/>
      </c>
      <c r="BB18" t="str">
        <f t="shared" si="1"/>
        <v/>
      </c>
      <c r="BC18" t="str">
        <f t="shared" si="1"/>
        <v/>
      </c>
      <c r="BD18" t="str">
        <f t="shared" si="1"/>
        <v/>
      </c>
      <c r="BE18" t="str">
        <f t="shared" si="1"/>
        <v/>
      </c>
      <c r="BF18" t="str">
        <f t="shared" si="1"/>
        <v/>
      </c>
      <c r="BG18" t="str">
        <f t="shared" si="1"/>
        <v/>
      </c>
    </row>
    <row r="19" spans="1:59" ht="15" thickBot="1" x14ac:dyDescent="0.35">
      <c r="A19" s="11"/>
      <c r="AP19" s="33"/>
      <c r="AR19">
        <v>17</v>
      </c>
      <c r="AS19" t="str">
        <f t="shared" ref="AS19:BG34" si="4">IF($C$3&gt;=AS$1,AR19,"")</f>
        <v/>
      </c>
      <c r="AT19" t="str">
        <f t="shared" si="4"/>
        <v/>
      </c>
      <c r="AU19" t="str">
        <f t="shared" si="4"/>
        <v/>
      </c>
      <c r="AV19" t="str">
        <f t="shared" si="4"/>
        <v/>
      </c>
      <c r="AW19" t="str">
        <f t="shared" si="4"/>
        <v/>
      </c>
      <c r="AX19" t="str">
        <f t="shared" si="4"/>
        <v/>
      </c>
      <c r="AY19" t="str">
        <f t="shared" si="4"/>
        <v/>
      </c>
      <c r="AZ19" t="str">
        <f t="shared" si="4"/>
        <v/>
      </c>
      <c r="BA19" t="str">
        <f t="shared" si="4"/>
        <v/>
      </c>
      <c r="BB19" t="str">
        <f t="shared" si="4"/>
        <v/>
      </c>
      <c r="BC19" t="str">
        <f t="shared" si="4"/>
        <v/>
      </c>
      <c r="BD19" t="str">
        <f t="shared" si="4"/>
        <v/>
      </c>
      <c r="BE19" t="str">
        <f t="shared" si="4"/>
        <v/>
      </c>
      <c r="BF19" t="str">
        <f t="shared" si="4"/>
        <v/>
      </c>
      <c r="BG19" t="str">
        <f t="shared" si="4"/>
        <v/>
      </c>
    </row>
    <row r="20" spans="1:59" x14ac:dyDescent="0.3">
      <c r="A20" s="11"/>
      <c r="B20" s="78" t="s">
        <v>29</v>
      </c>
      <c r="C20" s="79"/>
      <c r="E20" s="84" t="s">
        <v>42</v>
      </c>
      <c r="F20" s="85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P20" s="33"/>
      <c r="AR20">
        <v>18</v>
      </c>
      <c r="AS20" t="str">
        <f t="shared" si="4"/>
        <v/>
      </c>
      <c r="AT20" t="str">
        <f t="shared" si="4"/>
        <v/>
      </c>
      <c r="AU20" t="str">
        <f t="shared" si="4"/>
        <v/>
      </c>
      <c r="AV20" t="str">
        <f t="shared" si="4"/>
        <v/>
      </c>
      <c r="AW20" t="str">
        <f t="shared" si="4"/>
        <v/>
      </c>
      <c r="AX20" t="str">
        <f t="shared" si="4"/>
        <v/>
      </c>
      <c r="AY20" t="str">
        <f t="shared" si="4"/>
        <v/>
      </c>
      <c r="AZ20" t="str">
        <f t="shared" si="4"/>
        <v/>
      </c>
      <c r="BA20" t="str">
        <f t="shared" si="4"/>
        <v/>
      </c>
      <c r="BB20" t="str">
        <f t="shared" si="4"/>
        <v/>
      </c>
      <c r="BC20" t="str">
        <f t="shared" si="4"/>
        <v/>
      </c>
      <c r="BD20" t="str">
        <f t="shared" si="4"/>
        <v/>
      </c>
      <c r="BE20" t="str">
        <f t="shared" si="4"/>
        <v/>
      </c>
      <c r="BF20" t="str">
        <f t="shared" si="4"/>
        <v/>
      </c>
      <c r="BG20" t="str">
        <f t="shared" si="4"/>
        <v/>
      </c>
    </row>
    <row r="21" spans="1:59" x14ac:dyDescent="0.3">
      <c r="A21" s="11"/>
      <c r="B21" s="80"/>
      <c r="C21" s="81"/>
      <c r="E21" s="84" t="s">
        <v>13</v>
      </c>
      <c r="F21" s="85"/>
      <c r="G21" s="42" t="str">
        <f t="shared" ref="G21:AN21" si="5">IF(COUNTA(G4:G14)=0,"",SUM(G4:G14))</f>
        <v/>
      </c>
      <c r="H21" s="42" t="str">
        <f t="shared" si="5"/>
        <v/>
      </c>
      <c r="I21" s="42" t="str">
        <f t="shared" si="5"/>
        <v/>
      </c>
      <c r="J21" s="42" t="str">
        <f t="shared" si="5"/>
        <v/>
      </c>
      <c r="K21" s="42" t="str">
        <f t="shared" si="5"/>
        <v/>
      </c>
      <c r="L21" s="42" t="str">
        <f t="shared" si="5"/>
        <v/>
      </c>
      <c r="M21" s="42" t="str">
        <f t="shared" si="5"/>
        <v/>
      </c>
      <c r="N21" s="42" t="str">
        <f t="shared" si="5"/>
        <v/>
      </c>
      <c r="O21" s="42" t="str">
        <f t="shared" si="5"/>
        <v/>
      </c>
      <c r="P21" s="42" t="str">
        <f t="shared" si="5"/>
        <v/>
      </c>
      <c r="Q21" s="42" t="str">
        <f t="shared" si="5"/>
        <v/>
      </c>
      <c r="R21" s="42" t="str">
        <f t="shared" si="5"/>
        <v/>
      </c>
      <c r="S21" s="42" t="str">
        <f t="shared" si="5"/>
        <v/>
      </c>
      <c r="T21" s="42" t="str">
        <f t="shared" si="5"/>
        <v/>
      </c>
      <c r="U21" s="42" t="str">
        <f t="shared" si="5"/>
        <v/>
      </c>
      <c r="V21" s="42" t="str">
        <f t="shared" si="5"/>
        <v/>
      </c>
      <c r="W21" s="42" t="str">
        <f t="shared" si="5"/>
        <v/>
      </c>
      <c r="X21" s="42" t="str">
        <f t="shared" si="5"/>
        <v/>
      </c>
      <c r="Y21" s="42" t="str">
        <f t="shared" si="5"/>
        <v/>
      </c>
      <c r="Z21" s="42" t="str">
        <f t="shared" si="5"/>
        <v/>
      </c>
      <c r="AA21" s="42" t="str">
        <f t="shared" si="5"/>
        <v/>
      </c>
      <c r="AB21" s="42" t="str">
        <f t="shared" si="5"/>
        <v/>
      </c>
      <c r="AC21" s="42" t="str">
        <f t="shared" si="5"/>
        <v/>
      </c>
      <c r="AD21" s="42" t="str">
        <f t="shared" si="5"/>
        <v/>
      </c>
      <c r="AE21" s="42" t="str">
        <f t="shared" si="5"/>
        <v/>
      </c>
      <c r="AF21" s="42" t="str">
        <f t="shared" si="5"/>
        <v/>
      </c>
      <c r="AG21" s="42" t="str">
        <f t="shared" si="5"/>
        <v/>
      </c>
      <c r="AH21" s="42" t="str">
        <f t="shared" si="5"/>
        <v/>
      </c>
      <c r="AI21" s="42" t="str">
        <f t="shared" si="5"/>
        <v/>
      </c>
      <c r="AJ21" s="42" t="str">
        <f t="shared" si="5"/>
        <v/>
      </c>
      <c r="AK21" s="42" t="str">
        <f t="shared" si="5"/>
        <v/>
      </c>
      <c r="AL21" s="42" t="str">
        <f t="shared" si="5"/>
        <v/>
      </c>
      <c r="AM21" s="42" t="str">
        <f t="shared" si="5"/>
        <v/>
      </c>
      <c r="AN21" s="42" t="str">
        <f t="shared" si="5"/>
        <v/>
      </c>
      <c r="AP21" s="33"/>
      <c r="AR21">
        <v>19</v>
      </c>
      <c r="AS21" t="str">
        <f t="shared" si="4"/>
        <v/>
      </c>
      <c r="AT21" t="str">
        <f t="shared" si="4"/>
        <v/>
      </c>
      <c r="AU21" t="str">
        <f t="shared" si="4"/>
        <v/>
      </c>
      <c r="AV21" t="str">
        <f t="shared" si="4"/>
        <v/>
      </c>
      <c r="AW21" t="str">
        <f t="shared" si="4"/>
        <v/>
      </c>
      <c r="AX21" t="str">
        <f t="shared" si="4"/>
        <v/>
      </c>
      <c r="AY21" t="str">
        <f t="shared" si="4"/>
        <v/>
      </c>
      <c r="AZ21" t="str">
        <f t="shared" si="4"/>
        <v/>
      </c>
      <c r="BA21" t="str">
        <f t="shared" si="4"/>
        <v/>
      </c>
      <c r="BB21" t="str">
        <f t="shared" si="4"/>
        <v/>
      </c>
      <c r="BC21" t="str">
        <f t="shared" si="4"/>
        <v/>
      </c>
      <c r="BD21" t="str">
        <f t="shared" si="4"/>
        <v/>
      </c>
      <c r="BE21" t="str">
        <f t="shared" si="4"/>
        <v/>
      </c>
      <c r="BF21" t="str">
        <f t="shared" si="4"/>
        <v/>
      </c>
      <c r="BG21" t="str">
        <f t="shared" si="4"/>
        <v/>
      </c>
    </row>
    <row r="22" spans="1:59" ht="4.5" customHeight="1" thickBot="1" x14ac:dyDescent="0.35">
      <c r="A22" s="11"/>
      <c r="B22" s="80"/>
      <c r="C22" s="81"/>
      <c r="AP22" s="33"/>
      <c r="AR22">
        <v>20</v>
      </c>
      <c r="AS22" t="str">
        <f t="shared" si="4"/>
        <v/>
      </c>
      <c r="AT22" t="str">
        <f t="shared" si="4"/>
        <v/>
      </c>
      <c r="AU22" t="str">
        <f t="shared" si="4"/>
        <v/>
      </c>
      <c r="AV22" t="str">
        <f t="shared" si="4"/>
        <v/>
      </c>
      <c r="AW22" t="str">
        <f t="shared" si="4"/>
        <v/>
      </c>
      <c r="AX22" t="str">
        <f t="shared" si="4"/>
        <v/>
      </c>
      <c r="AY22" t="str">
        <f t="shared" si="4"/>
        <v/>
      </c>
      <c r="AZ22" t="str">
        <f t="shared" si="4"/>
        <v/>
      </c>
      <c r="BA22" t="str">
        <f t="shared" si="4"/>
        <v/>
      </c>
      <c r="BB22" t="str">
        <f t="shared" si="4"/>
        <v/>
      </c>
      <c r="BC22" t="str">
        <f t="shared" si="4"/>
        <v/>
      </c>
      <c r="BD22" t="str">
        <f t="shared" si="4"/>
        <v/>
      </c>
      <c r="BE22" t="str">
        <f t="shared" si="4"/>
        <v/>
      </c>
      <c r="BF22" t="str">
        <f t="shared" si="4"/>
        <v/>
      </c>
      <c r="BG22" t="str">
        <f t="shared" si="4"/>
        <v/>
      </c>
    </row>
    <row r="23" spans="1:59" ht="15.75" customHeight="1" thickBot="1" x14ac:dyDescent="0.35">
      <c r="A23" s="11"/>
      <c r="B23" s="82"/>
      <c r="C23" s="83"/>
      <c r="E23" s="10" t="s">
        <v>14</v>
      </c>
      <c r="F23" s="44"/>
      <c r="G23" s="45">
        <f>SUM(G4:AN14)</f>
        <v>0</v>
      </c>
      <c r="J23" s="86" t="s">
        <v>31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8"/>
      <c r="AI23" s="89" t="s">
        <v>30</v>
      </c>
      <c r="AJ23" s="90"/>
      <c r="AK23" s="90"/>
      <c r="AL23" s="90"/>
      <c r="AM23" s="90"/>
      <c r="AN23" s="91"/>
      <c r="AP23" s="33"/>
      <c r="AR23">
        <v>21</v>
      </c>
      <c r="AS23" t="str">
        <f t="shared" si="4"/>
        <v/>
      </c>
      <c r="AT23" t="str">
        <f t="shared" si="4"/>
        <v/>
      </c>
      <c r="AU23" t="str">
        <f t="shared" si="4"/>
        <v/>
      </c>
      <c r="AV23" t="str">
        <f t="shared" si="4"/>
        <v/>
      </c>
      <c r="AW23" t="str">
        <f t="shared" si="4"/>
        <v/>
      </c>
      <c r="AX23" t="str">
        <f t="shared" si="4"/>
        <v/>
      </c>
      <c r="AY23" t="str">
        <f t="shared" si="4"/>
        <v/>
      </c>
      <c r="AZ23" t="str">
        <f t="shared" si="4"/>
        <v/>
      </c>
      <c r="BA23" t="str">
        <f t="shared" si="4"/>
        <v/>
      </c>
      <c r="BB23" t="str">
        <f t="shared" si="4"/>
        <v/>
      </c>
      <c r="BC23" t="str">
        <f t="shared" si="4"/>
        <v/>
      </c>
      <c r="BD23" t="str">
        <f t="shared" si="4"/>
        <v/>
      </c>
      <c r="BE23" t="str">
        <f t="shared" si="4"/>
        <v/>
      </c>
      <c r="BF23" t="str">
        <f t="shared" si="4"/>
        <v/>
      </c>
      <c r="BG23" t="str">
        <f t="shared" si="4"/>
        <v/>
      </c>
    </row>
    <row r="24" spans="1:59" ht="15" thickBot="1" x14ac:dyDescent="0.35">
      <c r="A24" s="11"/>
      <c r="E24" s="11" t="s">
        <v>28</v>
      </c>
      <c r="F24" s="46"/>
      <c r="G24" s="47" t="str">
        <f>IF(G23=0,"",AVEDEV(G21:AJ21))</f>
        <v/>
      </c>
      <c r="J24" s="126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  <c r="AD24" s="128"/>
      <c r="AE24" s="128"/>
      <c r="AF24" s="128"/>
      <c r="AG24" s="128"/>
      <c r="AH24" s="129"/>
      <c r="AI24" s="134"/>
      <c r="AJ24" s="135"/>
      <c r="AK24" s="135"/>
      <c r="AL24" s="135"/>
      <c r="AM24" s="135"/>
      <c r="AN24" s="136"/>
      <c r="AP24" s="33"/>
      <c r="AR24">
        <v>22</v>
      </c>
      <c r="AS24" t="str">
        <f t="shared" si="4"/>
        <v/>
      </c>
      <c r="AT24" t="str">
        <f t="shared" si="4"/>
        <v/>
      </c>
      <c r="AU24" t="str">
        <f t="shared" si="4"/>
        <v/>
      </c>
      <c r="AV24" t="str">
        <f t="shared" si="4"/>
        <v/>
      </c>
      <c r="AW24" t="str">
        <f t="shared" si="4"/>
        <v/>
      </c>
      <c r="AX24" t="str">
        <f t="shared" si="4"/>
        <v/>
      </c>
      <c r="AY24" t="str">
        <f t="shared" si="4"/>
        <v/>
      </c>
      <c r="AZ24" t="str">
        <f t="shared" si="4"/>
        <v/>
      </c>
      <c r="BA24" t="str">
        <f t="shared" si="4"/>
        <v/>
      </c>
      <c r="BB24" t="str">
        <f t="shared" si="4"/>
        <v/>
      </c>
      <c r="BC24" t="str">
        <f t="shared" si="4"/>
        <v/>
      </c>
      <c r="BD24" t="str">
        <f t="shared" si="4"/>
        <v/>
      </c>
      <c r="BE24" t="str">
        <f t="shared" si="4"/>
        <v/>
      </c>
      <c r="BF24" t="str">
        <f t="shared" si="4"/>
        <v/>
      </c>
      <c r="BG24" t="str">
        <f t="shared" si="4"/>
        <v/>
      </c>
    </row>
    <row r="25" spans="1:59" ht="29.4" thickBot="1" x14ac:dyDescent="0.35">
      <c r="A25" s="11"/>
      <c r="B25" s="48" t="s">
        <v>18</v>
      </c>
      <c r="C25" s="49" t="e">
        <f>D18/C3</f>
        <v>#DIV/0!</v>
      </c>
      <c r="D25" s="50" t="s">
        <v>32</v>
      </c>
      <c r="E25" s="51" t="str">
        <f>IF(G23=0,"",AVERAGE(G21:AN21))</f>
        <v/>
      </c>
      <c r="J25" s="130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  <c r="AD25" s="128"/>
      <c r="AE25" s="128"/>
      <c r="AF25" s="128"/>
      <c r="AG25" s="128"/>
      <c r="AH25" s="129"/>
      <c r="AI25" s="134"/>
      <c r="AJ25" s="135"/>
      <c r="AK25" s="135"/>
      <c r="AL25" s="135"/>
      <c r="AM25" s="135"/>
      <c r="AN25" s="136"/>
      <c r="AP25" s="33"/>
      <c r="AR25">
        <v>23</v>
      </c>
      <c r="AS25" t="str">
        <f t="shared" si="4"/>
        <v/>
      </c>
      <c r="AT25" t="str">
        <f t="shared" si="4"/>
        <v/>
      </c>
      <c r="AU25" t="str">
        <f t="shared" si="4"/>
        <v/>
      </c>
      <c r="AV25" t="str">
        <f t="shared" si="4"/>
        <v/>
      </c>
      <c r="AW25" t="str">
        <f t="shared" si="4"/>
        <v/>
      </c>
      <c r="AX25" t="str">
        <f t="shared" si="4"/>
        <v/>
      </c>
      <c r="AY25" t="str">
        <f t="shared" si="4"/>
        <v/>
      </c>
      <c r="AZ25" t="str">
        <f t="shared" si="4"/>
        <v/>
      </c>
      <c r="BA25" t="str">
        <f t="shared" si="4"/>
        <v/>
      </c>
      <c r="BB25" t="str">
        <f t="shared" si="4"/>
        <v/>
      </c>
      <c r="BC25" t="str">
        <f t="shared" si="4"/>
        <v/>
      </c>
      <c r="BD25" t="str">
        <f t="shared" si="4"/>
        <v/>
      </c>
      <c r="BE25" t="str">
        <f t="shared" si="4"/>
        <v/>
      </c>
      <c r="BF25" t="str">
        <f t="shared" si="4"/>
        <v/>
      </c>
      <c r="BG25" t="str">
        <f t="shared" si="4"/>
        <v/>
      </c>
    </row>
    <row r="26" spans="1:59" ht="24" x14ac:dyDescent="0.3">
      <c r="A26" s="11"/>
      <c r="B26" s="52" t="s">
        <v>37</v>
      </c>
      <c r="C26" s="53" t="str">
        <f ca="1">IF(SUM(moyloc1)=0,"",AVERAGE(moyloc1))</f>
        <v/>
      </c>
      <c r="D26" s="52" t="s">
        <v>38</v>
      </c>
      <c r="E26" s="53" t="str">
        <f ca="1">IF(SUM(moyloc2)=0,"",AVERAGE(moyloc2))</f>
        <v/>
      </c>
      <c r="G26" s="52" t="s">
        <v>39</v>
      </c>
      <c r="H26" s="53" t="str">
        <f ca="1">IF(SUM(moyloc3)=0,"",AVERAGE(moyloc3))</f>
        <v/>
      </c>
      <c r="J26" s="130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9"/>
      <c r="AI26" s="134"/>
      <c r="AJ26" s="135"/>
      <c r="AK26" s="135"/>
      <c r="AL26" s="135"/>
      <c r="AM26" s="135"/>
      <c r="AN26" s="136"/>
      <c r="AP26" s="33"/>
      <c r="AR26">
        <v>24</v>
      </c>
      <c r="AS26" t="str">
        <f t="shared" si="4"/>
        <v/>
      </c>
      <c r="AT26" t="str">
        <f t="shared" si="4"/>
        <v/>
      </c>
      <c r="AU26" t="str">
        <f t="shared" si="4"/>
        <v/>
      </c>
      <c r="AV26" t="str">
        <f t="shared" si="4"/>
        <v/>
      </c>
      <c r="AW26" t="str">
        <f t="shared" si="4"/>
        <v/>
      </c>
      <c r="AX26" t="str">
        <f t="shared" si="4"/>
        <v/>
      </c>
      <c r="AY26" t="str">
        <f t="shared" si="4"/>
        <v/>
      </c>
      <c r="AZ26" t="str">
        <f t="shared" si="4"/>
        <v/>
      </c>
      <c r="BA26" t="str">
        <f t="shared" si="4"/>
        <v/>
      </c>
      <c r="BB26" t="str">
        <f t="shared" si="4"/>
        <v/>
      </c>
      <c r="BC26" t="str">
        <f t="shared" si="4"/>
        <v/>
      </c>
      <c r="BD26" t="str">
        <f t="shared" si="4"/>
        <v/>
      </c>
      <c r="BE26" t="str">
        <f t="shared" si="4"/>
        <v/>
      </c>
      <c r="BF26" t="str">
        <f t="shared" si="4"/>
        <v/>
      </c>
      <c r="BG26" t="str">
        <f t="shared" si="4"/>
        <v/>
      </c>
    </row>
    <row r="27" spans="1:59" x14ac:dyDescent="0.3">
      <c r="A27" s="11"/>
      <c r="B27" s="105" t="s">
        <v>40</v>
      </c>
      <c r="C27" s="106"/>
      <c r="D27" s="105" t="s">
        <v>40</v>
      </c>
      <c r="E27" s="106"/>
      <c r="F27" s="54"/>
      <c r="G27" s="105" t="s">
        <v>40</v>
      </c>
      <c r="H27" s="106"/>
      <c r="J27" s="130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  <c r="AC27" s="128"/>
      <c r="AD27" s="128"/>
      <c r="AE27" s="128"/>
      <c r="AF27" s="128"/>
      <c r="AG27" s="128"/>
      <c r="AH27" s="129"/>
      <c r="AI27" s="134"/>
      <c r="AJ27" s="135"/>
      <c r="AK27" s="135"/>
      <c r="AL27" s="135"/>
      <c r="AM27" s="135"/>
      <c r="AN27" s="136"/>
      <c r="AP27" s="33"/>
      <c r="AR27">
        <v>25</v>
      </c>
      <c r="AS27" t="str">
        <f t="shared" si="4"/>
        <v/>
      </c>
      <c r="AT27" t="str">
        <f t="shared" si="4"/>
        <v/>
      </c>
      <c r="AU27" t="str">
        <f t="shared" si="4"/>
        <v/>
      </c>
      <c r="AV27" t="str">
        <f t="shared" si="4"/>
        <v/>
      </c>
      <c r="AW27" t="str">
        <f t="shared" si="4"/>
        <v/>
      </c>
      <c r="AX27" t="str">
        <f t="shared" si="4"/>
        <v/>
      </c>
      <c r="AY27" t="str">
        <f t="shared" si="4"/>
        <v/>
      </c>
      <c r="AZ27" t="str">
        <f t="shared" si="4"/>
        <v/>
      </c>
      <c r="BA27" t="str">
        <f t="shared" si="4"/>
        <v/>
      </c>
      <c r="BB27" t="str">
        <f t="shared" si="4"/>
        <v/>
      </c>
      <c r="BC27" t="str">
        <f t="shared" si="4"/>
        <v/>
      </c>
      <c r="BD27" t="str">
        <f t="shared" si="4"/>
        <v/>
      </c>
      <c r="BE27" t="str">
        <f t="shared" si="4"/>
        <v/>
      </c>
      <c r="BF27" t="str">
        <f t="shared" si="4"/>
        <v/>
      </c>
      <c r="BG27" t="str">
        <f t="shared" si="4"/>
        <v/>
      </c>
    </row>
    <row r="28" spans="1:59" x14ac:dyDescent="0.3">
      <c r="A28" s="11"/>
      <c r="B28" s="142"/>
      <c r="C28" s="143"/>
      <c r="D28" s="142"/>
      <c r="E28" s="143"/>
      <c r="F28" s="54"/>
      <c r="G28" s="142"/>
      <c r="H28" s="143"/>
      <c r="J28" s="130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9"/>
      <c r="AI28" s="134"/>
      <c r="AJ28" s="135"/>
      <c r="AK28" s="135"/>
      <c r="AL28" s="135"/>
      <c r="AM28" s="135"/>
      <c r="AN28" s="136"/>
      <c r="AP28" s="33"/>
      <c r="AR28">
        <v>26</v>
      </c>
      <c r="AS28" t="str">
        <f t="shared" si="4"/>
        <v/>
      </c>
      <c r="AT28" t="str">
        <f t="shared" si="4"/>
        <v/>
      </c>
      <c r="AU28" t="str">
        <f t="shared" si="4"/>
        <v/>
      </c>
      <c r="AV28" t="str">
        <f t="shared" si="4"/>
        <v/>
      </c>
      <c r="AW28" t="str">
        <f t="shared" si="4"/>
        <v/>
      </c>
      <c r="AX28" t="str">
        <f t="shared" si="4"/>
        <v/>
      </c>
      <c r="AY28" t="str">
        <f t="shared" si="4"/>
        <v/>
      </c>
      <c r="AZ28" t="str">
        <f t="shared" si="4"/>
        <v/>
      </c>
      <c r="BA28" t="str">
        <f t="shared" si="4"/>
        <v/>
      </c>
      <c r="BB28" t="str">
        <f t="shared" si="4"/>
        <v/>
      </c>
      <c r="BC28" t="str">
        <f t="shared" si="4"/>
        <v/>
      </c>
      <c r="BD28" t="str">
        <f t="shared" si="4"/>
        <v/>
      </c>
      <c r="BE28" t="str">
        <f t="shared" si="4"/>
        <v/>
      </c>
      <c r="BF28" t="str">
        <f t="shared" si="4"/>
        <v/>
      </c>
      <c r="BG28" t="str">
        <f t="shared" si="4"/>
        <v/>
      </c>
    </row>
    <row r="29" spans="1:59" x14ac:dyDescent="0.3">
      <c r="A29" s="11"/>
      <c r="B29" s="105" t="s">
        <v>41</v>
      </c>
      <c r="C29" s="106"/>
      <c r="D29" s="105" t="s">
        <v>41</v>
      </c>
      <c r="E29" s="106"/>
      <c r="F29" s="54"/>
      <c r="G29" s="105" t="s">
        <v>41</v>
      </c>
      <c r="H29" s="106"/>
      <c r="J29" s="130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9"/>
      <c r="AI29" s="134"/>
      <c r="AJ29" s="135"/>
      <c r="AK29" s="135"/>
      <c r="AL29" s="135"/>
      <c r="AM29" s="135"/>
      <c r="AN29" s="136"/>
      <c r="AP29" s="33"/>
      <c r="AR29">
        <v>27</v>
      </c>
      <c r="AS29" t="str">
        <f t="shared" si="4"/>
        <v/>
      </c>
      <c r="AT29" t="str">
        <f t="shared" si="4"/>
        <v/>
      </c>
      <c r="AU29" t="str">
        <f t="shared" si="4"/>
        <v/>
      </c>
      <c r="AV29" t="str">
        <f t="shared" si="4"/>
        <v/>
      </c>
      <c r="AW29" t="str">
        <f t="shared" si="4"/>
        <v/>
      </c>
      <c r="AX29" t="str">
        <f t="shared" si="4"/>
        <v/>
      </c>
      <c r="AY29" t="str">
        <f t="shared" si="4"/>
        <v/>
      </c>
      <c r="AZ29" t="str">
        <f t="shared" si="4"/>
        <v/>
      </c>
      <c r="BA29" t="str">
        <f t="shared" si="4"/>
        <v/>
      </c>
      <c r="BB29" t="str">
        <f t="shared" si="4"/>
        <v/>
      </c>
      <c r="BC29" t="str">
        <f t="shared" si="4"/>
        <v/>
      </c>
      <c r="BD29" t="str">
        <f t="shared" si="4"/>
        <v/>
      </c>
      <c r="BE29" t="str">
        <f t="shared" si="4"/>
        <v/>
      </c>
      <c r="BF29" t="str">
        <f t="shared" si="4"/>
        <v/>
      </c>
      <c r="BG29" t="str">
        <f t="shared" si="4"/>
        <v/>
      </c>
    </row>
    <row r="30" spans="1:59" ht="15" thickBot="1" x14ac:dyDescent="0.35">
      <c r="A30" s="11"/>
      <c r="B30" s="140"/>
      <c r="C30" s="141"/>
      <c r="D30" s="140"/>
      <c r="E30" s="141"/>
      <c r="F30" s="54"/>
      <c r="G30" s="140"/>
      <c r="H30" s="141"/>
      <c r="J30" s="131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3"/>
      <c r="AI30" s="137"/>
      <c r="AJ30" s="138"/>
      <c r="AK30" s="138"/>
      <c r="AL30" s="138"/>
      <c r="AM30" s="138"/>
      <c r="AN30" s="139"/>
      <c r="AP30" s="33"/>
      <c r="AR30">
        <v>28</v>
      </c>
      <c r="AS30" t="str">
        <f t="shared" si="4"/>
        <v/>
      </c>
      <c r="AT30" t="str">
        <f t="shared" si="4"/>
        <v/>
      </c>
      <c r="AU30" t="str">
        <f t="shared" si="4"/>
        <v/>
      </c>
      <c r="AV30" t="str">
        <f t="shared" si="4"/>
        <v/>
      </c>
      <c r="AW30" t="str">
        <f t="shared" si="4"/>
        <v/>
      </c>
      <c r="AX30" t="str">
        <f t="shared" si="4"/>
        <v/>
      </c>
      <c r="AY30" t="str">
        <f t="shared" si="4"/>
        <v/>
      </c>
      <c r="AZ30" t="str">
        <f t="shared" si="4"/>
        <v/>
      </c>
      <c r="BA30" t="str">
        <f t="shared" si="4"/>
        <v/>
      </c>
      <c r="BB30" t="str">
        <f t="shared" si="4"/>
        <v/>
      </c>
      <c r="BC30" t="str">
        <f t="shared" si="4"/>
        <v/>
      </c>
      <c r="BD30" t="str">
        <f t="shared" si="4"/>
        <v/>
      </c>
      <c r="BE30" t="str">
        <f t="shared" si="4"/>
        <v/>
      </c>
      <c r="BF30" t="str">
        <f t="shared" si="4"/>
        <v/>
      </c>
      <c r="BG30" t="str">
        <f t="shared" si="4"/>
        <v/>
      </c>
    </row>
    <row r="31" spans="1:59" ht="15" thickBot="1" x14ac:dyDescent="0.35">
      <c r="A31" s="35"/>
      <c r="B31" s="46"/>
      <c r="C31" s="55"/>
      <c r="D31" s="46"/>
      <c r="E31" s="55"/>
      <c r="F31" s="46"/>
      <c r="G31" s="46"/>
      <c r="H31" s="55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56"/>
      <c r="AR31">
        <v>29</v>
      </c>
      <c r="AS31" t="str">
        <f t="shared" si="4"/>
        <v/>
      </c>
      <c r="AT31" t="str">
        <f t="shared" si="4"/>
        <v/>
      </c>
      <c r="AU31" t="str">
        <f t="shared" si="4"/>
        <v/>
      </c>
      <c r="AV31" t="str">
        <f t="shared" si="4"/>
        <v/>
      </c>
      <c r="AW31" t="str">
        <f t="shared" si="4"/>
        <v/>
      </c>
      <c r="AX31" t="str">
        <f t="shared" si="4"/>
        <v/>
      </c>
      <c r="AY31" t="str">
        <f t="shared" si="4"/>
        <v/>
      </c>
      <c r="AZ31" t="str">
        <f t="shared" si="4"/>
        <v/>
      </c>
      <c r="BA31" t="str">
        <f t="shared" si="4"/>
        <v/>
      </c>
      <c r="BB31" t="str">
        <f t="shared" si="4"/>
        <v/>
      </c>
      <c r="BC31" t="str">
        <f t="shared" si="4"/>
        <v/>
      </c>
      <c r="BD31" t="str">
        <f t="shared" si="4"/>
        <v/>
      </c>
      <c r="BE31" t="str">
        <f t="shared" si="4"/>
        <v/>
      </c>
      <c r="BF31" t="str">
        <f t="shared" si="4"/>
        <v/>
      </c>
      <c r="BG31" t="str">
        <f t="shared" si="4"/>
        <v/>
      </c>
    </row>
    <row r="32" spans="1:59" x14ac:dyDescent="0.3">
      <c r="AR32">
        <v>30</v>
      </c>
      <c r="AS32" t="str">
        <f t="shared" si="4"/>
        <v/>
      </c>
      <c r="AT32" t="str">
        <f t="shared" si="4"/>
        <v/>
      </c>
      <c r="AU32" t="str">
        <f t="shared" si="4"/>
        <v/>
      </c>
      <c r="AV32" t="str">
        <f t="shared" si="4"/>
        <v/>
      </c>
      <c r="AW32" t="str">
        <f t="shared" si="4"/>
        <v/>
      </c>
      <c r="AX32" t="str">
        <f t="shared" si="4"/>
        <v/>
      </c>
      <c r="AY32" t="str">
        <f t="shared" si="4"/>
        <v/>
      </c>
      <c r="AZ32" t="str">
        <f t="shared" si="4"/>
        <v/>
      </c>
      <c r="BA32" t="str">
        <f t="shared" si="4"/>
        <v/>
      </c>
      <c r="BB32" t="str">
        <f t="shared" si="4"/>
        <v/>
      </c>
      <c r="BC32" t="str">
        <f t="shared" si="4"/>
        <v/>
      </c>
      <c r="BD32" t="str">
        <f t="shared" si="4"/>
        <v/>
      </c>
      <c r="BE32" t="str">
        <f t="shared" si="4"/>
        <v/>
      </c>
      <c r="BF32" t="str">
        <f t="shared" si="4"/>
        <v/>
      </c>
      <c r="BG32" t="str">
        <f t="shared" si="4"/>
        <v/>
      </c>
    </row>
    <row r="33" spans="44:59" x14ac:dyDescent="0.3">
      <c r="AR33">
        <v>31</v>
      </c>
      <c r="AS33" t="str">
        <f t="shared" si="4"/>
        <v/>
      </c>
      <c r="AT33" t="str">
        <f t="shared" si="4"/>
        <v/>
      </c>
      <c r="AU33" t="str">
        <f t="shared" si="4"/>
        <v/>
      </c>
      <c r="AV33" t="str">
        <f t="shared" si="4"/>
        <v/>
      </c>
      <c r="AW33" t="str">
        <f t="shared" si="4"/>
        <v/>
      </c>
      <c r="AX33" t="str">
        <f t="shared" si="4"/>
        <v/>
      </c>
      <c r="AY33" t="str">
        <f t="shared" si="4"/>
        <v/>
      </c>
      <c r="AZ33" t="str">
        <f t="shared" si="4"/>
        <v/>
      </c>
      <c r="BA33" t="str">
        <f t="shared" si="4"/>
        <v/>
      </c>
      <c r="BB33" t="str">
        <f t="shared" si="4"/>
        <v/>
      </c>
      <c r="BC33" t="str">
        <f t="shared" si="4"/>
        <v/>
      </c>
      <c r="BD33" t="str">
        <f t="shared" si="4"/>
        <v/>
      </c>
      <c r="BE33" t="str">
        <f t="shared" si="4"/>
        <v/>
      </c>
      <c r="BF33" t="str">
        <f t="shared" si="4"/>
        <v/>
      </c>
      <c r="BG33" t="str">
        <f t="shared" si="4"/>
        <v/>
      </c>
    </row>
    <row r="34" spans="44:59" x14ac:dyDescent="0.3">
      <c r="AR34">
        <v>32</v>
      </c>
      <c r="AS34" t="str">
        <f t="shared" si="4"/>
        <v/>
      </c>
      <c r="AT34" t="str">
        <f t="shared" si="4"/>
        <v/>
      </c>
      <c r="AU34" t="str">
        <f t="shared" si="4"/>
        <v/>
      </c>
      <c r="AV34" t="str">
        <f t="shared" si="4"/>
        <v/>
      </c>
      <c r="AW34" t="str">
        <f t="shared" si="4"/>
        <v/>
      </c>
      <c r="AX34" t="str">
        <f t="shared" si="4"/>
        <v/>
      </c>
      <c r="AY34" t="str">
        <f t="shared" si="4"/>
        <v/>
      </c>
      <c r="AZ34" t="str">
        <f t="shared" si="4"/>
        <v/>
      </c>
      <c r="BA34" t="str">
        <f t="shared" si="4"/>
        <v/>
      </c>
      <c r="BB34" t="str">
        <f t="shared" si="4"/>
        <v/>
      </c>
      <c r="BC34" t="str">
        <f t="shared" si="4"/>
        <v/>
      </c>
      <c r="BD34" t="str">
        <f t="shared" si="4"/>
        <v/>
      </c>
      <c r="BE34" t="str">
        <f t="shared" si="4"/>
        <v/>
      </c>
      <c r="BF34" t="str">
        <f t="shared" si="4"/>
        <v/>
      </c>
      <c r="BG34" t="str">
        <f t="shared" si="4"/>
        <v/>
      </c>
    </row>
    <row r="35" spans="44:59" x14ac:dyDescent="0.3">
      <c r="AR35">
        <v>33</v>
      </c>
      <c r="AS35" t="str">
        <f t="shared" ref="AS35:BG50" si="6">IF($C$3&gt;=AS$1,AR35,"")</f>
        <v/>
      </c>
      <c r="AT35" t="str">
        <f t="shared" si="6"/>
        <v/>
      </c>
      <c r="AU35" t="str">
        <f t="shared" si="6"/>
        <v/>
      </c>
      <c r="AV35" t="str">
        <f t="shared" si="6"/>
        <v/>
      </c>
      <c r="AW35" t="str">
        <f t="shared" si="6"/>
        <v/>
      </c>
      <c r="AX35" t="str">
        <f t="shared" si="6"/>
        <v/>
      </c>
      <c r="AY35" t="str">
        <f t="shared" si="6"/>
        <v/>
      </c>
      <c r="AZ35" t="str">
        <f t="shared" si="6"/>
        <v/>
      </c>
      <c r="BA35" t="str">
        <f t="shared" si="6"/>
        <v/>
      </c>
      <c r="BB35" t="str">
        <f t="shared" si="6"/>
        <v/>
      </c>
      <c r="BC35" t="str">
        <f t="shared" si="6"/>
        <v/>
      </c>
      <c r="BD35" t="str">
        <f t="shared" si="6"/>
        <v/>
      </c>
      <c r="BE35" t="str">
        <f t="shared" si="6"/>
        <v/>
      </c>
      <c r="BF35" t="str">
        <f t="shared" si="6"/>
        <v/>
      </c>
      <c r="BG35" t="str">
        <f t="shared" si="6"/>
        <v/>
      </c>
    </row>
    <row r="36" spans="44:59" x14ac:dyDescent="0.3">
      <c r="AR36">
        <v>34</v>
      </c>
      <c r="AS36" t="str">
        <f t="shared" si="6"/>
        <v/>
      </c>
      <c r="AT36" t="str">
        <f t="shared" si="6"/>
        <v/>
      </c>
      <c r="AU36" t="str">
        <f t="shared" si="6"/>
        <v/>
      </c>
      <c r="AV36" t="str">
        <f t="shared" si="6"/>
        <v/>
      </c>
      <c r="AW36" t="str">
        <f t="shared" si="6"/>
        <v/>
      </c>
      <c r="AX36" t="str">
        <f t="shared" si="6"/>
        <v/>
      </c>
      <c r="AY36" t="str">
        <f t="shared" si="6"/>
        <v/>
      </c>
      <c r="AZ36" t="str">
        <f t="shared" si="6"/>
        <v/>
      </c>
      <c r="BA36" t="str">
        <f t="shared" si="6"/>
        <v/>
      </c>
      <c r="BB36" t="str">
        <f t="shared" si="6"/>
        <v/>
      </c>
      <c r="BC36" t="str">
        <f t="shared" si="6"/>
        <v/>
      </c>
      <c r="BD36" t="str">
        <f t="shared" si="6"/>
        <v/>
      </c>
      <c r="BE36" t="str">
        <f t="shared" si="6"/>
        <v/>
      </c>
      <c r="BF36" t="str">
        <f t="shared" si="6"/>
        <v/>
      </c>
      <c r="BG36" t="str">
        <f t="shared" si="6"/>
        <v/>
      </c>
    </row>
    <row r="37" spans="44:59" x14ac:dyDescent="0.3">
      <c r="AR37">
        <v>35</v>
      </c>
      <c r="AS37" t="str">
        <f t="shared" si="6"/>
        <v/>
      </c>
      <c r="AT37" t="str">
        <f t="shared" si="6"/>
        <v/>
      </c>
      <c r="AU37" t="str">
        <f t="shared" si="6"/>
        <v/>
      </c>
      <c r="AV37" t="str">
        <f t="shared" si="6"/>
        <v/>
      </c>
      <c r="AW37" t="str">
        <f t="shared" si="6"/>
        <v/>
      </c>
      <c r="AX37" t="str">
        <f t="shared" si="6"/>
        <v/>
      </c>
      <c r="AY37" t="str">
        <f t="shared" si="6"/>
        <v/>
      </c>
      <c r="AZ37" t="str">
        <f t="shared" si="6"/>
        <v/>
      </c>
      <c r="BA37" t="str">
        <f t="shared" si="6"/>
        <v/>
      </c>
      <c r="BB37" t="str">
        <f t="shared" si="6"/>
        <v/>
      </c>
      <c r="BC37" t="str">
        <f t="shared" si="6"/>
        <v/>
      </c>
      <c r="BD37" t="str">
        <f t="shared" si="6"/>
        <v/>
      </c>
      <c r="BE37" t="str">
        <f t="shared" si="6"/>
        <v/>
      </c>
      <c r="BF37" t="str">
        <f t="shared" si="6"/>
        <v/>
      </c>
      <c r="BG37" t="str">
        <f t="shared" si="6"/>
        <v/>
      </c>
    </row>
    <row r="38" spans="44:59" x14ac:dyDescent="0.3">
      <c r="AR38">
        <v>36</v>
      </c>
      <c r="AS38" t="str">
        <f t="shared" si="6"/>
        <v/>
      </c>
      <c r="AT38" t="str">
        <f t="shared" si="6"/>
        <v/>
      </c>
      <c r="AU38" t="str">
        <f t="shared" si="6"/>
        <v/>
      </c>
      <c r="AV38" t="str">
        <f t="shared" si="6"/>
        <v/>
      </c>
      <c r="AW38" t="str">
        <f t="shared" si="6"/>
        <v/>
      </c>
      <c r="AX38" t="str">
        <f t="shared" si="6"/>
        <v/>
      </c>
      <c r="AY38" t="str">
        <f t="shared" si="6"/>
        <v/>
      </c>
      <c r="AZ38" t="str">
        <f t="shared" si="6"/>
        <v/>
      </c>
      <c r="BA38" t="str">
        <f t="shared" si="6"/>
        <v/>
      </c>
      <c r="BB38" t="str">
        <f t="shared" si="6"/>
        <v/>
      </c>
      <c r="BC38" t="str">
        <f t="shared" si="6"/>
        <v/>
      </c>
      <c r="BD38" t="str">
        <f t="shared" si="6"/>
        <v/>
      </c>
      <c r="BE38" t="str">
        <f t="shared" si="6"/>
        <v/>
      </c>
      <c r="BF38" t="str">
        <f t="shared" si="6"/>
        <v/>
      </c>
      <c r="BG38" t="str">
        <f t="shared" si="6"/>
        <v/>
      </c>
    </row>
    <row r="39" spans="44:59" x14ac:dyDescent="0.3">
      <c r="AR39">
        <v>37</v>
      </c>
      <c r="AS39" t="str">
        <f t="shared" si="6"/>
        <v/>
      </c>
      <c r="AT39" t="str">
        <f t="shared" si="6"/>
        <v/>
      </c>
      <c r="AU39" t="str">
        <f t="shared" si="6"/>
        <v/>
      </c>
      <c r="AV39" t="str">
        <f t="shared" si="6"/>
        <v/>
      </c>
      <c r="AW39" t="str">
        <f t="shared" si="6"/>
        <v/>
      </c>
      <c r="AX39" t="str">
        <f t="shared" si="6"/>
        <v/>
      </c>
      <c r="AY39" t="str">
        <f t="shared" si="6"/>
        <v/>
      </c>
      <c r="AZ39" t="str">
        <f t="shared" si="6"/>
        <v/>
      </c>
      <c r="BA39" t="str">
        <f t="shared" si="6"/>
        <v/>
      </c>
      <c r="BB39" t="str">
        <f t="shared" si="6"/>
        <v/>
      </c>
      <c r="BC39" t="str">
        <f t="shared" si="6"/>
        <v/>
      </c>
      <c r="BD39" t="str">
        <f t="shared" si="6"/>
        <v/>
      </c>
      <c r="BE39" t="str">
        <f t="shared" si="6"/>
        <v/>
      </c>
      <c r="BF39" t="str">
        <f t="shared" si="6"/>
        <v/>
      </c>
      <c r="BG39" t="str">
        <f t="shared" si="6"/>
        <v/>
      </c>
    </row>
    <row r="40" spans="44:59" x14ac:dyDescent="0.3">
      <c r="AR40">
        <v>38</v>
      </c>
      <c r="AS40" t="str">
        <f t="shared" si="6"/>
        <v/>
      </c>
      <c r="AT40" t="str">
        <f t="shared" si="6"/>
        <v/>
      </c>
      <c r="AU40" t="str">
        <f t="shared" si="6"/>
        <v/>
      </c>
      <c r="AV40" t="str">
        <f t="shared" si="6"/>
        <v/>
      </c>
      <c r="AW40" t="str">
        <f t="shared" si="6"/>
        <v/>
      </c>
      <c r="AX40" t="str">
        <f t="shared" si="6"/>
        <v/>
      </c>
      <c r="AY40" t="str">
        <f t="shared" si="6"/>
        <v/>
      </c>
      <c r="AZ40" t="str">
        <f t="shared" si="6"/>
        <v/>
      </c>
      <c r="BA40" t="str">
        <f t="shared" si="6"/>
        <v/>
      </c>
      <c r="BB40" t="str">
        <f t="shared" si="6"/>
        <v/>
      </c>
      <c r="BC40" t="str">
        <f t="shared" si="6"/>
        <v/>
      </c>
      <c r="BD40" t="str">
        <f t="shared" si="6"/>
        <v/>
      </c>
      <c r="BE40" t="str">
        <f t="shared" si="6"/>
        <v/>
      </c>
      <c r="BF40" t="str">
        <f t="shared" si="6"/>
        <v/>
      </c>
      <c r="BG40" t="str">
        <f t="shared" si="6"/>
        <v/>
      </c>
    </row>
    <row r="41" spans="44:59" x14ac:dyDescent="0.3">
      <c r="AR41">
        <v>39</v>
      </c>
      <c r="AS41" t="str">
        <f t="shared" si="6"/>
        <v/>
      </c>
      <c r="AT41" t="str">
        <f t="shared" si="6"/>
        <v/>
      </c>
      <c r="AU41" t="str">
        <f t="shared" si="6"/>
        <v/>
      </c>
      <c r="AV41" t="str">
        <f t="shared" si="6"/>
        <v/>
      </c>
      <c r="AW41" t="str">
        <f t="shared" si="6"/>
        <v/>
      </c>
      <c r="AX41" t="str">
        <f t="shared" si="6"/>
        <v/>
      </c>
      <c r="AY41" t="str">
        <f t="shared" si="6"/>
        <v/>
      </c>
      <c r="AZ41" t="str">
        <f t="shared" si="6"/>
        <v/>
      </c>
      <c r="BA41" t="str">
        <f t="shared" si="6"/>
        <v/>
      </c>
      <c r="BB41" t="str">
        <f t="shared" si="6"/>
        <v/>
      </c>
      <c r="BC41" t="str">
        <f t="shared" si="6"/>
        <v/>
      </c>
      <c r="BD41" t="str">
        <f t="shared" si="6"/>
        <v/>
      </c>
      <c r="BE41" t="str">
        <f t="shared" si="6"/>
        <v/>
      </c>
      <c r="BF41" t="str">
        <f t="shared" si="6"/>
        <v/>
      </c>
      <c r="BG41" t="str">
        <f t="shared" si="6"/>
        <v/>
      </c>
    </row>
    <row r="42" spans="44:59" x14ac:dyDescent="0.3">
      <c r="AR42">
        <v>40</v>
      </c>
      <c r="AS42" t="str">
        <f t="shared" si="6"/>
        <v/>
      </c>
      <c r="AT42" t="str">
        <f t="shared" si="6"/>
        <v/>
      </c>
      <c r="AU42" t="str">
        <f t="shared" si="6"/>
        <v/>
      </c>
      <c r="AV42" t="str">
        <f t="shared" si="6"/>
        <v/>
      </c>
      <c r="AW42" t="str">
        <f t="shared" si="6"/>
        <v/>
      </c>
      <c r="AX42" t="str">
        <f t="shared" si="6"/>
        <v/>
      </c>
      <c r="AY42" t="str">
        <f t="shared" si="6"/>
        <v/>
      </c>
      <c r="AZ42" t="str">
        <f t="shared" si="6"/>
        <v/>
      </c>
      <c r="BA42" t="str">
        <f t="shared" si="6"/>
        <v/>
      </c>
      <c r="BB42" t="str">
        <f t="shared" si="6"/>
        <v/>
      </c>
      <c r="BC42" t="str">
        <f t="shared" si="6"/>
        <v/>
      </c>
      <c r="BD42" t="str">
        <f t="shared" si="6"/>
        <v/>
      </c>
      <c r="BE42" t="str">
        <f t="shared" si="6"/>
        <v/>
      </c>
      <c r="BF42" t="str">
        <f t="shared" si="6"/>
        <v/>
      </c>
      <c r="BG42" t="str">
        <f t="shared" si="6"/>
        <v/>
      </c>
    </row>
    <row r="43" spans="44:59" x14ac:dyDescent="0.3">
      <c r="AR43">
        <v>41</v>
      </c>
      <c r="AS43" t="str">
        <f t="shared" si="6"/>
        <v/>
      </c>
      <c r="AT43" t="str">
        <f t="shared" si="6"/>
        <v/>
      </c>
      <c r="AU43" t="str">
        <f t="shared" si="6"/>
        <v/>
      </c>
      <c r="AV43" t="str">
        <f t="shared" si="6"/>
        <v/>
      </c>
      <c r="AW43" t="str">
        <f t="shared" si="6"/>
        <v/>
      </c>
      <c r="AX43" t="str">
        <f t="shared" si="6"/>
        <v/>
      </c>
      <c r="AY43" t="str">
        <f t="shared" si="6"/>
        <v/>
      </c>
      <c r="AZ43" t="str">
        <f t="shared" si="6"/>
        <v/>
      </c>
      <c r="BA43" t="str">
        <f t="shared" si="6"/>
        <v/>
      </c>
      <c r="BB43" t="str">
        <f t="shared" si="6"/>
        <v/>
      </c>
      <c r="BC43" t="str">
        <f t="shared" si="6"/>
        <v/>
      </c>
      <c r="BD43" t="str">
        <f t="shared" si="6"/>
        <v/>
      </c>
      <c r="BE43" t="str">
        <f t="shared" si="6"/>
        <v/>
      </c>
      <c r="BF43" t="str">
        <f t="shared" si="6"/>
        <v/>
      </c>
      <c r="BG43" t="str">
        <f t="shared" si="6"/>
        <v/>
      </c>
    </row>
    <row r="44" spans="44:59" x14ac:dyDescent="0.3">
      <c r="AR44">
        <v>42</v>
      </c>
      <c r="AS44" t="str">
        <f t="shared" si="6"/>
        <v/>
      </c>
      <c r="AT44" t="str">
        <f t="shared" si="6"/>
        <v/>
      </c>
      <c r="AU44" t="str">
        <f t="shared" si="6"/>
        <v/>
      </c>
      <c r="AV44" t="str">
        <f t="shared" si="6"/>
        <v/>
      </c>
      <c r="AW44" t="str">
        <f t="shared" si="6"/>
        <v/>
      </c>
      <c r="AX44" t="str">
        <f t="shared" si="6"/>
        <v/>
      </c>
      <c r="AY44" t="str">
        <f t="shared" si="6"/>
        <v/>
      </c>
      <c r="AZ44" t="str">
        <f t="shared" si="6"/>
        <v/>
      </c>
      <c r="BA44" t="str">
        <f t="shared" si="6"/>
        <v/>
      </c>
      <c r="BB44" t="str">
        <f t="shared" si="6"/>
        <v/>
      </c>
      <c r="BC44" t="str">
        <f t="shared" si="6"/>
        <v/>
      </c>
      <c r="BD44" t="str">
        <f t="shared" si="6"/>
        <v/>
      </c>
      <c r="BE44" t="str">
        <f t="shared" si="6"/>
        <v/>
      </c>
      <c r="BF44" t="str">
        <f t="shared" si="6"/>
        <v/>
      </c>
      <c r="BG44" t="str">
        <f t="shared" si="6"/>
        <v/>
      </c>
    </row>
    <row r="45" spans="44:59" x14ac:dyDescent="0.3">
      <c r="AR45">
        <v>43</v>
      </c>
      <c r="AS45" t="str">
        <f t="shared" si="6"/>
        <v/>
      </c>
      <c r="AT45" t="str">
        <f t="shared" si="6"/>
        <v/>
      </c>
      <c r="AU45" t="str">
        <f t="shared" si="6"/>
        <v/>
      </c>
      <c r="AV45" t="str">
        <f t="shared" si="6"/>
        <v/>
      </c>
      <c r="AW45" t="str">
        <f t="shared" si="6"/>
        <v/>
      </c>
      <c r="AX45" t="str">
        <f t="shared" si="6"/>
        <v/>
      </c>
      <c r="AY45" t="str">
        <f t="shared" si="6"/>
        <v/>
      </c>
      <c r="AZ45" t="str">
        <f t="shared" si="6"/>
        <v/>
      </c>
      <c r="BA45" t="str">
        <f t="shared" si="6"/>
        <v/>
      </c>
      <c r="BB45" t="str">
        <f t="shared" si="6"/>
        <v/>
      </c>
      <c r="BC45" t="str">
        <f t="shared" si="6"/>
        <v/>
      </c>
      <c r="BD45" t="str">
        <f t="shared" si="6"/>
        <v/>
      </c>
      <c r="BE45" t="str">
        <f t="shared" si="6"/>
        <v/>
      </c>
      <c r="BF45" t="str">
        <f t="shared" si="6"/>
        <v/>
      </c>
      <c r="BG45" t="str">
        <f t="shared" si="6"/>
        <v/>
      </c>
    </row>
    <row r="46" spans="44:59" x14ac:dyDescent="0.3">
      <c r="AR46">
        <v>44</v>
      </c>
      <c r="AS46" t="str">
        <f t="shared" si="6"/>
        <v/>
      </c>
      <c r="AT46" t="str">
        <f t="shared" si="6"/>
        <v/>
      </c>
      <c r="AU46" t="str">
        <f t="shared" si="6"/>
        <v/>
      </c>
      <c r="AV46" t="str">
        <f t="shared" si="6"/>
        <v/>
      </c>
      <c r="AW46" t="str">
        <f t="shared" si="6"/>
        <v/>
      </c>
      <c r="AX46" t="str">
        <f t="shared" si="6"/>
        <v/>
      </c>
      <c r="AY46" t="str">
        <f t="shared" si="6"/>
        <v/>
      </c>
      <c r="AZ46" t="str">
        <f t="shared" si="6"/>
        <v/>
      </c>
      <c r="BA46" t="str">
        <f t="shared" si="6"/>
        <v/>
      </c>
      <c r="BB46" t="str">
        <f t="shared" si="6"/>
        <v/>
      </c>
      <c r="BC46" t="str">
        <f t="shared" si="6"/>
        <v/>
      </c>
      <c r="BD46" t="str">
        <f t="shared" si="6"/>
        <v/>
      </c>
      <c r="BE46" t="str">
        <f t="shared" si="6"/>
        <v/>
      </c>
      <c r="BF46" t="str">
        <f t="shared" si="6"/>
        <v/>
      </c>
      <c r="BG46" t="str">
        <f t="shared" si="6"/>
        <v/>
      </c>
    </row>
    <row r="47" spans="44:59" x14ac:dyDescent="0.3">
      <c r="AR47">
        <v>45</v>
      </c>
      <c r="AS47" t="str">
        <f t="shared" si="6"/>
        <v/>
      </c>
      <c r="AT47" t="str">
        <f t="shared" si="6"/>
        <v/>
      </c>
      <c r="AU47" t="str">
        <f t="shared" si="6"/>
        <v/>
      </c>
      <c r="AV47" t="str">
        <f t="shared" si="6"/>
        <v/>
      </c>
      <c r="AW47" t="str">
        <f t="shared" si="6"/>
        <v/>
      </c>
      <c r="AX47" t="str">
        <f t="shared" si="6"/>
        <v/>
      </c>
      <c r="AY47" t="str">
        <f t="shared" si="6"/>
        <v/>
      </c>
      <c r="AZ47" t="str">
        <f t="shared" si="6"/>
        <v/>
      </c>
      <c r="BA47" t="str">
        <f t="shared" si="6"/>
        <v/>
      </c>
      <c r="BB47" t="str">
        <f t="shared" si="6"/>
        <v/>
      </c>
      <c r="BC47" t="str">
        <f t="shared" si="6"/>
        <v/>
      </c>
      <c r="BD47" t="str">
        <f t="shared" si="6"/>
        <v/>
      </c>
      <c r="BE47" t="str">
        <f t="shared" si="6"/>
        <v/>
      </c>
      <c r="BF47" t="str">
        <f t="shared" si="6"/>
        <v/>
      </c>
      <c r="BG47" t="str">
        <f t="shared" si="6"/>
        <v/>
      </c>
    </row>
    <row r="48" spans="44:59" x14ac:dyDescent="0.3">
      <c r="AR48">
        <v>46</v>
      </c>
      <c r="AS48" t="str">
        <f t="shared" si="6"/>
        <v/>
      </c>
      <c r="AT48" t="str">
        <f t="shared" si="6"/>
        <v/>
      </c>
      <c r="AU48" t="str">
        <f t="shared" si="6"/>
        <v/>
      </c>
      <c r="AV48" t="str">
        <f t="shared" si="6"/>
        <v/>
      </c>
      <c r="AW48" t="str">
        <f t="shared" si="6"/>
        <v/>
      </c>
      <c r="AX48" t="str">
        <f t="shared" si="6"/>
        <v/>
      </c>
      <c r="AY48" t="str">
        <f t="shared" si="6"/>
        <v/>
      </c>
      <c r="AZ48" t="str">
        <f t="shared" si="6"/>
        <v/>
      </c>
      <c r="BA48" t="str">
        <f t="shared" si="6"/>
        <v/>
      </c>
      <c r="BB48" t="str">
        <f t="shared" si="6"/>
        <v/>
      </c>
      <c r="BC48" t="str">
        <f t="shared" si="6"/>
        <v/>
      </c>
      <c r="BD48" t="str">
        <f t="shared" si="6"/>
        <v/>
      </c>
      <c r="BE48" t="str">
        <f t="shared" si="6"/>
        <v/>
      </c>
      <c r="BF48" t="str">
        <f t="shared" si="6"/>
        <v/>
      </c>
      <c r="BG48" t="str">
        <f t="shared" si="6"/>
        <v/>
      </c>
    </row>
    <row r="49" spans="44:59" x14ac:dyDescent="0.3">
      <c r="AR49">
        <v>47</v>
      </c>
      <c r="AS49" t="str">
        <f t="shared" si="6"/>
        <v/>
      </c>
      <c r="AT49" t="str">
        <f t="shared" si="6"/>
        <v/>
      </c>
      <c r="AU49" t="str">
        <f t="shared" si="6"/>
        <v/>
      </c>
      <c r="AV49" t="str">
        <f t="shared" si="6"/>
        <v/>
      </c>
      <c r="AW49" t="str">
        <f t="shared" si="6"/>
        <v/>
      </c>
      <c r="AX49" t="str">
        <f t="shared" si="6"/>
        <v/>
      </c>
      <c r="AY49" t="str">
        <f t="shared" si="6"/>
        <v/>
      </c>
      <c r="AZ49" t="str">
        <f t="shared" si="6"/>
        <v/>
      </c>
      <c r="BA49" t="str">
        <f t="shared" si="6"/>
        <v/>
      </c>
      <c r="BB49" t="str">
        <f t="shared" si="6"/>
        <v/>
      </c>
      <c r="BC49" t="str">
        <f t="shared" si="6"/>
        <v/>
      </c>
      <c r="BD49" t="str">
        <f t="shared" si="6"/>
        <v/>
      </c>
      <c r="BE49" t="str">
        <f t="shared" si="6"/>
        <v/>
      </c>
      <c r="BF49" t="str">
        <f t="shared" si="6"/>
        <v/>
      </c>
      <c r="BG49" t="str">
        <f t="shared" si="6"/>
        <v/>
      </c>
    </row>
    <row r="50" spans="44:59" x14ac:dyDescent="0.3">
      <c r="AR50">
        <v>48</v>
      </c>
      <c r="AS50" t="str">
        <f t="shared" si="6"/>
        <v/>
      </c>
      <c r="AT50" t="str">
        <f t="shared" si="6"/>
        <v/>
      </c>
      <c r="AU50" t="str">
        <f t="shared" si="6"/>
        <v/>
      </c>
      <c r="AV50" t="str">
        <f t="shared" si="6"/>
        <v/>
      </c>
      <c r="AW50" t="str">
        <f t="shared" si="6"/>
        <v/>
      </c>
      <c r="AX50" t="str">
        <f t="shared" si="6"/>
        <v/>
      </c>
      <c r="AY50" t="str">
        <f t="shared" si="6"/>
        <v/>
      </c>
      <c r="AZ50" t="str">
        <f t="shared" si="6"/>
        <v/>
      </c>
      <c r="BA50" t="str">
        <f t="shared" si="6"/>
        <v/>
      </c>
      <c r="BB50" t="str">
        <f t="shared" si="6"/>
        <v/>
      </c>
      <c r="BC50" t="str">
        <f t="shared" si="6"/>
        <v/>
      </c>
      <c r="BD50" t="str">
        <f t="shared" si="6"/>
        <v/>
      </c>
      <c r="BE50" t="str">
        <f t="shared" si="6"/>
        <v/>
      </c>
      <c r="BF50" t="str">
        <f t="shared" si="6"/>
        <v/>
      </c>
      <c r="BG50" t="str">
        <f t="shared" si="6"/>
        <v/>
      </c>
    </row>
    <row r="51" spans="44:59" x14ac:dyDescent="0.3">
      <c r="AR51">
        <v>49</v>
      </c>
      <c r="AS51" t="str">
        <f t="shared" ref="AS51:BG62" si="7">IF($C$3&gt;=AS$1,AR51,"")</f>
        <v/>
      </c>
      <c r="AT51" t="str">
        <f t="shared" si="7"/>
        <v/>
      </c>
      <c r="AU51" t="str">
        <f t="shared" si="7"/>
        <v/>
      </c>
      <c r="AV51" t="str">
        <f t="shared" si="7"/>
        <v/>
      </c>
      <c r="AW51" t="str">
        <f t="shared" si="7"/>
        <v/>
      </c>
      <c r="AX51" t="str">
        <f t="shared" si="7"/>
        <v/>
      </c>
      <c r="AY51" t="str">
        <f t="shared" si="7"/>
        <v/>
      </c>
      <c r="AZ51" t="str">
        <f t="shared" si="7"/>
        <v/>
      </c>
      <c r="BA51" t="str">
        <f t="shared" si="7"/>
        <v/>
      </c>
      <c r="BB51" t="str">
        <f t="shared" si="7"/>
        <v/>
      </c>
      <c r="BC51" t="str">
        <f t="shared" si="7"/>
        <v/>
      </c>
      <c r="BD51" t="str">
        <f t="shared" si="7"/>
        <v/>
      </c>
      <c r="BE51" t="str">
        <f t="shared" si="7"/>
        <v/>
      </c>
      <c r="BF51" t="str">
        <f t="shared" si="7"/>
        <v/>
      </c>
      <c r="BG51" t="str">
        <f t="shared" si="7"/>
        <v/>
      </c>
    </row>
    <row r="52" spans="44:59" x14ac:dyDescent="0.3">
      <c r="AR52">
        <v>50</v>
      </c>
      <c r="AS52" t="str">
        <f t="shared" si="7"/>
        <v/>
      </c>
      <c r="AT52" t="str">
        <f t="shared" si="7"/>
        <v/>
      </c>
      <c r="AU52" t="str">
        <f t="shared" si="7"/>
        <v/>
      </c>
      <c r="AV52" t="str">
        <f t="shared" si="7"/>
        <v/>
      </c>
      <c r="AW52" t="str">
        <f t="shared" si="7"/>
        <v/>
      </c>
      <c r="AX52" t="str">
        <f t="shared" si="7"/>
        <v/>
      </c>
      <c r="AY52" t="str">
        <f t="shared" si="7"/>
        <v/>
      </c>
      <c r="AZ52" t="str">
        <f t="shared" si="7"/>
        <v/>
      </c>
      <c r="BA52" t="str">
        <f t="shared" si="7"/>
        <v/>
      </c>
      <c r="BB52" t="str">
        <f t="shared" si="7"/>
        <v/>
      </c>
      <c r="BC52" t="str">
        <f t="shared" si="7"/>
        <v/>
      </c>
      <c r="BD52" t="str">
        <f t="shared" si="7"/>
        <v/>
      </c>
      <c r="BE52" t="str">
        <f t="shared" si="7"/>
        <v/>
      </c>
      <c r="BF52" t="str">
        <f t="shared" si="7"/>
        <v/>
      </c>
      <c r="BG52" t="str">
        <f t="shared" si="7"/>
        <v/>
      </c>
    </row>
    <row r="53" spans="44:59" x14ac:dyDescent="0.3">
      <c r="AR53">
        <v>51</v>
      </c>
      <c r="AS53" t="str">
        <f t="shared" si="7"/>
        <v/>
      </c>
      <c r="AT53" t="str">
        <f t="shared" si="7"/>
        <v/>
      </c>
      <c r="AU53" t="str">
        <f t="shared" si="7"/>
        <v/>
      </c>
      <c r="AV53" t="str">
        <f t="shared" si="7"/>
        <v/>
      </c>
      <c r="AW53" t="str">
        <f t="shared" si="7"/>
        <v/>
      </c>
      <c r="AX53" t="str">
        <f t="shared" si="7"/>
        <v/>
      </c>
      <c r="AY53" t="str">
        <f t="shared" si="7"/>
        <v/>
      </c>
      <c r="AZ53" t="str">
        <f t="shared" si="7"/>
        <v/>
      </c>
      <c r="BA53" t="str">
        <f t="shared" si="7"/>
        <v/>
      </c>
      <c r="BB53" t="str">
        <f t="shared" si="7"/>
        <v/>
      </c>
      <c r="BC53" t="str">
        <f t="shared" si="7"/>
        <v/>
      </c>
      <c r="BD53" t="str">
        <f t="shared" si="7"/>
        <v/>
      </c>
      <c r="BE53" t="str">
        <f t="shared" si="7"/>
        <v/>
      </c>
      <c r="BF53" t="str">
        <f t="shared" si="7"/>
        <v/>
      </c>
      <c r="BG53" t="str">
        <f t="shared" si="7"/>
        <v/>
      </c>
    </row>
    <row r="54" spans="44:59" x14ac:dyDescent="0.3">
      <c r="AR54">
        <v>52</v>
      </c>
      <c r="AS54" t="str">
        <f t="shared" si="7"/>
        <v/>
      </c>
      <c r="AT54" t="str">
        <f t="shared" si="7"/>
        <v/>
      </c>
      <c r="AU54" t="str">
        <f t="shared" si="7"/>
        <v/>
      </c>
      <c r="AV54" t="str">
        <f t="shared" si="7"/>
        <v/>
      </c>
      <c r="AW54" t="str">
        <f t="shared" si="7"/>
        <v/>
      </c>
      <c r="AX54" t="str">
        <f t="shared" si="7"/>
        <v/>
      </c>
      <c r="AY54" t="str">
        <f t="shared" si="7"/>
        <v/>
      </c>
      <c r="AZ54" t="str">
        <f t="shared" si="7"/>
        <v/>
      </c>
      <c r="BA54" t="str">
        <f t="shared" si="7"/>
        <v/>
      </c>
      <c r="BB54" t="str">
        <f t="shared" si="7"/>
        <v/>
      </c>
      <c r="BC54" t="str">
        <f t="shared" si="7"/>
        <v/>
      </c>
      <c r="BD54" t="str">
        <f t="shared" si="7"/>
        <v/>
      </c>
      <c r="BE54" t="str">
        <f t="shared" si="7"/>
        <v/>
      </c>
      <c r="BF54" t="str">
        <f t="shared" si="7"/>
        <v/>
      </c>
      <c r="BG54" t="str">
        <f t="shared" si="7"/>
        <v/>
      </c>
    </row>
    <row r="55" spans="44:59" x14ac:dyDescent="0.3">
      <c r="AR55">
        <v>53</v>
      </c>
      <c r="AS55" t="str">
        <f t="shared" si="7"/>
        <v/>
      </c>
      <c r="AT55" t="str">
        <f t="shared" si="7"/>
        <v/>
      </c>
      <c r="AU55" t="str">
        <f t="shared" si="7"/>
        <v/>
      </c>
      <c r="AV55" t="str">
        <f t="shared" si="7"/>
        <v/>
      </c>
      <c r="AW55" t="str">
        <f t="shared" si="7"/>
        <v/>
      </c>
      <c r="AX55" t="str">
        <f t="shared" si="7"/>
        <v/>
      </c>
      <c r="AY55" t="str">
        <f t="shared" si="7"/>
        <v/>
      </c>
      <c r="AZ55" t="str">
        <f t="shared" si="7"/>
        <v/>
      </c>
      <c r="BA55" t="str">
        <f t="shared" si="7"/>
        <v/>
      </c>
      <c r="BB55" t="str">
        <f t="shared" si="7"/>
        <v/>
      </c>
      <c r="BC55" t="str">
        <f t="shared" si="7"/>
        <v/>
      </c>
      <c r="BD55" t="str">
        <f t="shared" si="7"/>
        <v/>
      </c>
      <c r="BE55" t="str">
        <f t="shared" si="7"/>
        <v/>
      </c>
      <c r="BF55" t="str">
        <f t="shared" si="7"/>
        <v/>
      </c>
      <c r="BG55" t="str">
        <f t="shared" si="7"/>
        <v/>
      </c>
    </row>
    <row r="56" spans="44:59" x14ac:dyDescent="0.3">
      <c r="AR56">
        <v>54</v>
      </c>
      <c r="AS56" t="str">
        <f t="shared" si="7"/>
        <v/>
      </c>
      <c r="AT56" t="str">
        <f t="shared" si="7"/>
        <v/>
      </c>
      <c r="AU56" t="str">
        <f t="shared" si="7"/>
        <v/>
      </c>
      <c r="AV56" t="str">
        <f t="shared" si="7"/>
        <v/>
      </c>
      <c r="AW56" t="str">
        <f t="shared" si="7"/>
        <v/>
      </c>
      <c r="AX56" t="str">
        <f t="shared" si="7"/>
        <v/>
      </c>
      <c r="AY56" t="str">
        <f t="shared" si="7"/>
        <v/>
      </c>
      <c r="AZ56" t="str">
        <f t="shared" si="7"/>
        <v/>
      </c>
      <c r="BA56" t="str">
        <f t="shared" si="7"/>
        <v/>
      </c>
      <c r="BB56" t="str">
        <f t="shared" si="7"/>
        <v/>
      </c>
      <c r="BC56" t="str">
        <f t="shared" si="7"/>
        <v/>
      </c>
      <c r="BD56" t="str">
        <f t="shared" si="7"/>
        <v/>
      </c>
      <c r="BE56" t="str">
        <f t="shared" si="7"/>
        <v/>
      </c>
      <c r="BF56" t="str">
        <f t="shared" si="7"/>
        <v/>
      </c>
      <c r="BG56" t="str">
        <f t="shared" si="7"/>
        <v/>
      </c>
    </row>
    <row r="57" spans="44:59" x14ac:dyDescent="0.3">
      <c r="AR57">
        <v>55</v>
      </c>
      <c r="AS57" t="str">
        <f t="shared" si="7"/>
        <v/>
      </c>
      <c r="AT57" t="str">
        <f t="shared" si="7"/>
        <v/>
      </c>
      <c r="AU57" t="str">
        <f t="shared" si="7"/>
        <v/>
      </c>
      <c r="AV57" t="str">
        <f t="shared" si="7"/>
        <v/>
      </c>
      <c r="AW57" t="str">
        <f t="shared" si="7"/>
        <v/>
      </c>
      <c r="AX57" t="str">
        <f t="shared" si="7"/>
        <v/>
      </c>
      <c r="AY57" t="str">
        <f t="shared" si="7"/>
        <v/>
      </c>
      <c r="AZ57" t="str">
        <f t="shared" si="7"/>
        <v/>
      </c>
      <c r="BA57" t="str">
        <f t="shared" si="7"/>
        <v/>
      </c>
      <c r="BB57" t="str">
        <f t="shared" si="7"/>
        <v/>
      </c>
      <c r="BC57" t="str">
        <f t="shared" si="7"/>
        <v/>
      </c>
      <c r="BD57" t="str">
        <f t="shared" si="7"/>
        <v/>
      </c>
      <c r="BE57" t="str">
        <f t="shared" si="7"/>
        <v/>
      </c>
      <c r="BF57" t="str">
        <f t="shared" si="7"/>
        <v/>
      </c>
      <c r="BG57" t="str">
        <f t="shared" si="7"/>
        <v/>
      </c>
    </row>
    <row r="58" spans="44:59" x14ac:dyDescent="0.3">
      <c r="AR58">
        <v>56</v>
      </c>
      <c r="AS58" t="str">
        <f t="shared" si="7"/>
        <v/>
      </c>
      <c r="AT58" t="str">
        <f t="shared" si="7"/>
        <v/>
      </c>
      <c r="AU58" t="str">
        <f t="shared" si="7"/>
        <v/>
      </c>
      <c r="AV58" t="str">
        <f t="shared" si="7"/>
        <v/>
      </c>
      <c r="AW58" t="str">
        <f t="shared" si="7"/>
        <v/>
      </c>
      <c r="AX58" t="str">
        <f t="shared" si="7"/>
        <v/>
      </c>
      <c r="AY58" t="str">
        <f t="shared" si="7"/>
        <v/>
      </c>
      <c r="AZ58" t="str">
        <f t="shared" si="7"/>
        <v/>
      </c>
      <c r="BA58" t="str">
        <f t="shared" si="7"/>
        <v/>
      </c>
      <c r="BB58" t="str">
        <f t="shared" si="7"/>
        <v/>
      </c>
      <c r="BC58" t="str">
        <f t="shared" si="7"/>
        <v/>
      </c>
      <c r="BD58" t="str">
        <f t="shared" si="7"/>
        <v/>
      </c>
      <c r="BE58" t="str">
        <f t="shared" si="7"/>
        <v/>
      </c>
      <c r="BF58" t="str">
        <f t="shared" si="7"/>
        <v/>
      </c>
      <c r="BG58" t="str">
        <f t="shared" si="7"/>
        <v/>
      </c>
    </row>
    <row r="59" spans="44:59" x14ac:dyDescent="0.3">
      <c r="AR59">
        <v>57</v>
      </c>
      <c r="AS59" t="str">
        <f t="shared" si="7"/>
        <v/>
      </c>
      <c r="AT59" t="str">
        <f t="shared" si="7"/>
        <v/>
      </c>
      <c r="AU59" t="str">
        <f t="shared" si="7"/>
        <v/>
      </c>
      <c r="AV59" t="str">
        <f t="shared" si="7"/>
        <v/>
      </c>
      <c r="AW59" t="str">
        <f t="shared" si="7"/>
        <v/>
      </c>
      <c r="AX59" t="str">
        <f t="shared" si="7"/>
        <v/>
      </c>
      <c r="AY59" t="str">
        <f t="shared" si="7"/>
        <v/>
      </c>
      <c r="AZ59" t="str">
        <f t="shared" si="7"/>
        <v/>
      </c>
      <c r="BA59" t="str">
        <f t="shared" si="7"/>
        <v/>
      </c>
      <c r="BB59" t="str">
        <f t="shared" si="7"/>
        <v/>
      </c>
      <c r="BC59" t="str">
        <f t="shared" si="7"/>
        <v/>
      </c>
      <c r="BD59" t="str">
        <f t="shared" si="7"/>
        <v/>
      </c>
      <c r="BE59" t="str">
        <f t="shared" si="7"/>
        <v/>
      </c>
      <c r="BF59" t="str">
        <f t="shared" si="7"/>
        <v/>
      </c>
      <c r="BG59" t="str">
        <f t="shared" si="7"/>
        <v/>
      </c>
    </row>
    <row r="60" spans="44:59" x14ac:dyDescent="0.3">
      <c r="AR60">
        <v>58</v>
      </c>
      <c r="AS60" t="str">
        <f t="shared" si="7"/>
        <v/>
      </c>
      <c r="AT60" t="str">
        <f t="shared" si="7"/>
        <v/>
      </c>
      <c r="AU60" t="str">
        <f t="shared" si="7"/>
        <v/>
      </c>
      <c r="AV60" t="str">
        <f t="shared" si="7"/>
        <v/>
      </c>
      <c r="AW60" t="str">
        <f t="shared" si="7"/>
        <v/>
      </c>
      <c r="AX60" t="str">
        <f t="shared" si="7"/>
        <v/>
      </c>
      <c r="AY60" t="str">
        <f t="shared" si="7"/>
        <v/>
      </c>
      <c r="AZ60" t="str">
        <f t="shared" si="7"/>
        <v/>
      </c>
      <c r="BA60" t="str">
        <f t="shared" si="7"/>
        <v/>
      </c>
      <c r="BB60" t="str">
        <f t="shared" si="7"/>
        <v/>
      </c>
      <c r="BC60" t="str">
        <f t="shared" si="7"/>
        <v/>
      </c>
      <c r="BD60" t="str">
        <f t="shared" si="7"/>
        <v/>
      </c>
      <c r="BE60" t="str">
        <f t="shared" si="7"/>
        <v/>
      </c>
      <c r="BF60" t="str">
        <f t="shared" si="7"/>
        <v/>
      </c>
      <c r="BG60" t="str">
        <f t="shared" si="7"/>
        <v/>
      </c>
    </row>
    <row r="61" spans="44:59" x14ac:dyDescent="0.3">
      <c r="AR61">
        <v>59</v>
      </c>
      <c r="AS61" t="str">
        <f t="shared" si="7"/>
        <v/>
      </c>
      <c r="AT61" t="str">
        <f t="shared" si="7"/>
        <v/>
      </c>
      <c r="AU61" t="str">
        <f t="shared" si="7"/>
        <v/>
      </c>
      <c r="AV61" t="str">
        <f t="shared" si="7"/>
        <v/>
      </c>
      <c r="AW61" t="str">
        <f t="shared" si="7"/>
        <v/>
      </c>
      <c r="AX61" t="str">
        <f t="shared" si="7"/>
        <v/>
      </c>
      <c r="AY61" t="str">
        <f t="shared" si="7"/>
        <v/>
      </c>
      <c r="AZ61" t="str">
        <f t="shared" si="7"/>
        <v/>
      </c>
      <c r="BA61" t="str">
        <f t="shared" si="7"/>
        <v/>
      </c>
      <c r="BB61" t="str">
        <f t="shared" si="7"/>
        <v/>
      </c>
      <c r="BC61" t="str">
        <f t="shared" si="7"/>
        <v/>
      </c>
      <c r="BD61" t="str">
        <f t="shared" si="7"/>
        <v/>
      </c>
      <c r="BE61" t="str">
        <f t="shared" si="7"/>
        <v/>
      </c>
      <c r="BF61" t="str">
        <f t="shared" si="7"/>
        <v/>
      </c>
      <c r="BG61" t="str">
        <f t="shared" si="7"/>
        <v/>
      </c>
    </row>
    <row r="62" spans="44:59" x14ac:dyDescent="0.3">
      <c r="AR62">
        <v>60</v>
      </c>
      <c r="AS62" t="str">
        <f t="shared" si="7"/>
        <v/>
      </c>
      <c r="AT62" t="str">
        <f t="shared" si="7"/>
        <v/>
      </c>
      <c r="AU62" t="str">
        <f t="shared" si="7"/>
        <v/>
      </c>
      <c r="AV62" t="str">
        <f t="shared" si="7"/>
        <v/>
      </c>
      <c r="AW62" t="str">
        <f t="shared" si="7"/>
        <v/>
      </c>
      <c r="AX62" t="str">
        <f t="shared" si="7"/>
        <v/>
      </c>
      <c r="AY62" t="str">
        <f t="shared" si="7"/>
        <v/>
      </c>
      <c r="AZ62" t="str">
        <f t="shared" si="7"/>
        <v/>
      </c>
      <c r="BA62" t="str">
        <f t="shared" si="7"/>
        <v/>
      </c>
      <c r="BB62" t="str">
        <f t="shared" si="7"/>
        <v/>
      </c>
      <c r="BC62" t="str">
        <f t="shared" si="7"/>
        <v/>
      </c>
      <c r="BD62" t="str">
        <f t="shared" si="7"/>
        <v/>
      </c>
      <c r="BE62" t="str">
        <f t="shared" si="7"/>
        <v/>
      </c>
      <c r="BF62" t="str">
        <f t="shared" si="7"/>
        <v/>
      </c>
      <c r="BG62" t="str">
        <f t="shared" si="7"/>
        <v/>
      </c>
    </row>
  </sheetData>
  <mergeCells count="27">
    <mergeCell ref="B20:C23"/>
    <mergeCell ref="E20:F20"/>
    <mergeCell ref="E21:F21"/>
    <mergeCell ref="J23:AH23"/>
    <mergeCell ref="AI23:AN23"/>
    <mergeCell ref="J24:AH30"/>
    <mergeCell ref="AI24:AN30"/>
    <mergeCell ref="B27:C27"/>
    <mergeCell ref="D27:E27"/>
    <mergeCell ref="G27:H27"/>
    <mergeCell ref="B30:C30"/>
    <mergeCell ref="D30:E30"/>
    <mergeCell ref="G30:H30"/>
    <mergeCell ref="B28:C28"/>
    <mergeCell ref="D28:E28"/>
    <mergeCell ref="G28:H28"/>
    <mergeCell ref="B29:C29"/>
    <mergeCell ref="D29:E29"/>
    <mergeCell ref="G29:H29"/>
    <mergeCell ref="B1:AP1"/>
    <mergeCell ref="C2:E2"/>
    <mergeCell ref="H2:J2"/>
    <mergeCell ref="AM2:AP2"/>
    <mergeCell ref="G18:H18"/>
    <mergeCell ref="J18:AD18"/>
    <mergeCell ref="AF18:AG18"/>
    <mergeCell ref="AI18:AJ18"/>
  </mergeCells>
  <conditionalFormatting sqref="E4:E14">
    <cfRule type="cellIs" dxfId="9" priority="6" operator="equal">
      <formula>0</formula>
    </cfRule>
    <cfRule type="cellIs" dxfId="8" priority="7" operator="lessThan">
      <formula>0</formula>
    </cfRule>
  </conditionalFormatting>
  <conditionalFormatting sqref="G3:AN3">
    <cfRule type="expression" dxfId="7" priority="1">
      <formula>XFD3&lt;4</formula>
    </cfRule>
  </conditionalFormatting>
  <conditionalFormatting sqref="G20:AN20">
    <cfRule type="expression" dxfId="6" priority="3" stopIfTrue="1">
      <formula>G16=3</formula>
    </cfRule>
    <cfRule type="expression" dxfId="5" priority="4" stopIfTrue="1">
      <formula>G16=2</formula>
    </cfRule>
    <cfRule type="expression" dxfId="4" priority="5" stopIfTrue="1">
      <formula>G16=1</formula>
    </cfRule>
    <cfRule type="expression" dxfId="3" priority="8" stopIfTrue="1">
      <formula>G16=3</formula>
    </cfRule>
    <cfRule type="expression" dxfId="2" priority="9" stopIfTrue="1">
      <formula>G16=2</formula>
    </cfRule>
    <cfRule type="expression" dxfId="1" priority="10" stopIfTrue="1">
      <formula>G16=1</formula>
    </cfRule>
  </conditionalFormatting>
  <conditionalFormatting sqref="AJ4:AJ14">
    <cfRule type="expression" dxfId="0" priority="2" stopIfTrue="1">
      <formula>$C$3&lt;11</formula>
    </cfRule>
  </conditionalFormatting>
  <dataValidations count="1">
    <dataValidation type="list" allowBlank="1" showInputMessage="1" showErrorMessage="1" sqref="G4:AN14" xr:uid="{9851DC48-A148-46E4-98CD-46FFC94FF182}">
      <formula1>$AR$2:$AR$62</formula1>
    </dataValidation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8" scale="6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16</vt:i4>
      </vt:variant>
    </vt:vector>
  </HeadingPairs>
  <TitlesOfParts>
    <vt:vector size="33" baseType="lpstr">
      <vt:lpstr>AIDE</vt:lpstr>
      <vt:lpstr>Exemple</vt:lpstr>
      <vt:lpstr>EEPU NOM ECOLE</vt:lpstr>
      <vt:lpstr>ECOLE 2</vt:lpstr>
      <vt:lpstr>ECOLE 3</vt:lpstr>
      <vt:lpstr>ECOLE 4</vt:lpstr>
      <vt:lpstr>ECOLE 5</vt:lpstr>
      <vt:lpstr>ECOLE 6</vt:lpstr>
      <vt:lpstr>ECOLE 7</vt:lpstr>
      <vt:lpstr>ECOLE 8</vt:lpstr>
      <vt:lpstr>ECOLE 9</vt:lpstr>
      <vt:lpstr>ECOLE 10</vt:lpstr>
      <vt:lpstr>ECOLE 11</vt:lpstr>
      <vt:lpstr>ECOLE 12</vt:lpstr>
      <vt:lpstr>ECOLE 13</vt:lpstr>
      <vt:lpstr>ECOLE 14</vt:lpstr>
      <vt:lpstr>ECOLE 15</vt:lpstr>
      <vt:lpstr>'ECOLE 10'!Zone_d_impression</vt:lpstr>
      <vt:lpstr>'ECOLE 11'!Zone_d_impression</vt:lpstr>
      <vt:lpstr>'ECOLE 12'!Zone_d_impression</vt:lpstr>
      <vt:lpstr>'ECOLE 13'!Zone_d_impression</vt:lpstr>
      <vt:lpstr>'ECOLE 14'!Zone_d_impression</vt:lpstr>
      <vt:lpstr>'ECOLE 15'!Zone_d_impression</vt:lpstr>
      <vt:lpstr>'ECOLE 2'!Zone_d_impression</vt:lpstr>
      <vt:lpstr>'ECOLE 3'!Zone_d_impression</vt:lpstr>
      <vt:lpstr>'ECOLE 4'!Zone_d_impression</vt:lpstr>
      <vt:lpstr>'ECOLE 5'!Zone_d_impression</vt:lpstr>
      <vt:lpstr>'ECOLE 6'!Zone_d_impression</vt:lpstr>
      <vt:lpstr>'ECOLE 7'!Zone_d_impression</vt:lpstr>
      <vt:lpstr>'ECOLE 8'!Zone_d_impression</vt:lpstr>
      <vt:lpstr>'ECOLE 9'!Zone_d_impression</vt:lpstr>
      <vt:lpstr>'EEPU NOM ECOLE'!Zone_d_impression</vt:lpstr>
      <vt:lpstr>Exemple!Zone_d_impression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Louis</dc:creator>
  <cp:lastModifiedBy>Olivier Louis</cp:lastModifiedBy>
  <cp:lastPrinted>2024-05-21T19:24:14Z</cp:lastPrinted>
  <dcterms:created xsi:type="dcterms:W3CDTF">2014-05-27T20:06:05Z</dcterms:created>
  <dcterms:modified xsi:type="dcterms:W3CDTF">2024-06-30T22:36:39Z</dcterms:modified>
</cp:coreProperties>
</file>